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6b5f5f5d92472c" /></Relationships>
</file>

<file path=xl/workbook.xml><?xml version="1.0" encoding="utf-8"?>
<x:workbook xmlns:x="http://schemas.openxmlformats.org/spreadsheetml/2006/main">
  <x:sheets>
    <x:sheet xmlns:r="http://schemas.openxmlformats.org/officeDocument/2006/relationships" name="Summary" sheetId="1" r:id="R577dfc6e3af14567"/>
    <x:sheet xmlns:r="http://schemas.openxmlformats.org/officeDocument/2006/relationships" name="Calibration Pass 1" sheetId="2" r:id="Rde4116db4f2c47ab"/>
    <x:sheet xmlns:r="http://schemas.openxmlformats.org/officeDocument/2006/relationships" name="Pass 2 - Open Later" sheetId="3" r:id="Re730b12d5dbe4ab6"/>
    <x:sheet xmlns:r="http://schemas.openxmlformats.org/officeDocument/2006/relationships" name="Full Pair Review" sheetId="4" r:id="R2a359a2ea96047f8"/>
    <x:sheet xmlns:r="http://schemas.openxmlformats.org/officeDocument/2006/relationships" name="Split Index" sheetId="5" r:id="Rea1164de57924c9f"/>
    <x:sheet xmlns:r="http://schemas.openxmlformats.org/officeDocument/2006/relationships" name="Rubric" sheetId="6" r:id="R8794f2e6a47f47f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20"/>
      <x:color rgb="FFFFFFFF"/>
      <x:name val="Carlito"/>
    </x:font>
    <x:font>
      <x:b/>
      <x:sz val="11"/>
      <x:color rgb="FF6B4F00"/>
      <x:name val="Carlito"/>
    </x:font>
    <x:font>
      <x:b/>
      <x:sz val="11"/>
      <x:color rgb="FFFFFFFF"/>
      <x:name val="Carlito"/>
    </x:font>
    <x:font>
      <x:sz val="10"/>
      <x:color rgb="FF17212B"/>
      <x:name val="Carlito"/>
    </x:font>
    <x:font>
      <x:b/>
      <x:sz val="18"/>
      <x:color rgb="FFFFFFFF"/>
      <x:name val="Carlito"/>
    </x:font>
  </x:fonts>
  <x:fills count="6">
    <x:fill>
      <x:patternFill patternType="none"/>
    </x:fill>
    <x:fill>
      <x:patternFill patternType="gray125"/>
    </x:fill>
    <x:fill>
      <x:patternFill patternType="solid">
        <x:fgColor rgb="FF18324A"/>
      </x:patternFill>
    </x:fill>
    <x:fill>
      <x:patternFill patternType="solid">
        <x:fgColor rgb="FFFFF4D6"/>
      </x:patternFill>
    </x:fill>
    <x:fill>
      <x:patternFill patternType="solid">
        <x:fgColor rgb="FF18766D"/>
      </x:patternFill>
    </x:fill>
    <x:fill>
      <x:patternFill patternType="solid">
        <x:fgColor rgb="FF7B4F22"/>
      </x:patternFill>
    </x:fill>
  </x:fills>
  <x:borders count="2">
    <x:border/>
    <x:border>
      <x:left style="thin">
        <x:color rgb="FFD7DEE5"/>
      </x:left>
      <x:right style="thin">
        <x:color rgb="FFD7DEE5"/>
      </x:right>
      <x:top style="thin">
        <x:color rgb="FFD7DEE5"/>
      </x:top>
      <x:bottom style="thin">
        <x:color rgb="FFD7DEE5"/>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200" fontId="0" fillId="0"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3" fillId="5" borderId="0"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applyAlignment="1">
      <x:alignment wrapText="1"/>
    </x:xf>
  </x:cellXfs>
  <x:cellStyles count="1">
    <x:cellStyle name="Normal" xfId="0"/>
  </x:cellStyles>
  <x:dxfs count="9">
    <x:dxf>
      <x:font>
        <x:b/>
        <x:color rgb="FF176B38"/>
      </x:font>
      <x:fill>
        <x:patternFill patternType="solid">
          <x:bgColor rgb="FFDFF2E5"/>
        </x:patternFill>
      </x:fill>
    </x:dxf>
    <x:dxf>
      <x:font>
        <x:b/>
        <x:color rgb="FF755600"/>
      </x:font>
      <x:fill>
        <x:patternFill patternType="solid">
          <x:bgColor rgb="FFFFF4D6"/>
        </x:patternFill>
      </x:fill>
    </x:dxf>
    <x:dxf>
      <x:font>
        <x:b/>
        <x:color rgb="FF8A1C1C"/>
      </x:font>
      <x:fill>
        <x:patternFill patternType="solid">
          <x:bgColor rgb="FFFDECEC"/>
        </x:patternFill>
      </x:fill>
    </x:dxf>
    <x:dxf>
      <x:font>
        <x:b/>
        <x:color rgb="FF176B38"/>
      </x:font>
      <x:fill>
        <x:patternFill patternType="solid">
          <x:bgColor rgb="FFDFF2E5"/>
        </x:patternFill>
      </x:fill>
    </x:dxf>
    <x:dxf>
      <x:font>
        <x:b/>
        <x:color rgb="FF755600"/>
      </x:font>
      <x:fill>
        <x:patternFill patternType="solid">
          <x:bgColor rgb="FFFFF4D6"/>
        </x:patternFill>
      </x:fill>
    </x:dxf>
    <x:dxf>
      <x:font>
        <x:b/>
        <x:color rgb="FF8A1C1C"/>
      </x:font>
      <x:fill>
        <x:patternFill patternType="solid">
          <x:bgColor rgb="FFFDECEC"/>
        </x:patternFill>
      </x:fill>
    </x:dxf>
    <x:dxf>
      <x:font>
        <x:b/>
        <x:color rgb="FF176B38"/>
      </x:font>
      <x:fill>
        <x:patternFill patternType="solid">
          <x:bgColor rgb="FFDFF2E5"/>
        </x:patternFill>
      </x:fill>
    </x:dxf>
    <x:dxf>
      <x:font>
        <x:b/>
        <x:color rgb="FF755600"/>
      </x:font>
      <x:fill>
        <x:patternFill patternType="solid">
          <x:bgColor rgb="FFFFF4D6"/>
        </x:patternFill>
      </x:fill>
    </x:dxf>
    <x:dxf>
      <x:font>
        <x:b/>
        <x:color rgb="FF8A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163fa608304111" /><Relationship Type="http://schemas.openxmlformats.org/officeDocument/2006/relationships/theme" Target="/xl/theme/theme1.xml" Id="Raef67e07ce9845eb" /><Relationship Type="http://schemas.openxmlformats.org/officeDocument/2006/relationships/sharedStrings" Target="/xl/sharedStrings.xml" Id="R199ab98d1a9e4e18" /><Relationship Type="http://schemas.openxmlformats.org/officeDocument/2006/relationships/worksheet" Target="/xl/worksheets/sheet1.xml" Id="R577dfc6e3af14567" /><Relationship Type="http://schemas.openxmlformats.org/officeDocument/2006/relationships/worksheet" Target="/xl/worksheets/sheet2.xml" Id="Rde4116db4f2c47ab" /><Relationship Type="http://schemas.openxmlformats.org/officeDocument/2006/relationships/worksheet" Target="/xl/worksheets/sheet3.xml" Id="Re730b12d5dbe4ab6" /><Relationship Type="http://schemas.openxmlformats.org/officeDocument/2006/relationships/worksheet" Target="/xl/worksheets/sheet4.xml" Id="R2a359a2ea96047f8" /><Relationship Type="http://schemas.openxmlformats.org/officeDocument/2006/relationships/worksheet" Target="/xl/worksheets/sheet5.xml" Id="Rea1164de57924c9f" /><Relationship Type="http://schemas.openxmlformats.org/officeDocument/2006/relationships/worksheet" Target="/xl/worksheets/sheet6.xml" Id="R8794f2e6a47f47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3e4f5cb2ce7e46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Calibration Composition</a:t>
            </a:r>
          </a:p>
        </c:rich>
      </c:tx>
      <c:overlay val="0"/>
    </c:title>
    <c:autoTitleDeleted val="0"/>
    <c:plotArea>
      <c:layout/>
      <c:barChart>
        <c:barDir val="col"/>
        <c:varyColors val="0"/>
        <c:ser>
          <c:idx val="0"/>
          <c:order val="0"/>
          <c:tx>
            <c:v>Pairs</c:v>
          </c:tx>
          <c:dLbls>
            <c:showLegendKey val="0"/>
            <c:showVal val="0"/>
            <c:showCatName val="0"/>
            <c:showSerName val="0"/>
            <c:showPercent val="0"/>
            <c:showBubbleSize val="0"/>
            <c:showLeaderLines val="0"/>
          </c:dLbls>
          <c:cat>
            <c:strRef>
              <c:f>'Summary'!$G$7:$G$9</c:f>
              <c:strCache>
                <c:ptCount val="0"/>
              </c:strCache>
            </c:strRef>
          </c:cat>
          <c:val>
            <c:numRef>
              <c:f>'Summary'!$H$7:$H$9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13</xdr:row>
      <xdr:rowOff>0</xdr:rowOff>
    </xdr:from>
    <xdr:to>
      <xdr:col>12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4f5cb2ce7e467c"/>
        </a:graphicData>
      </a:graphic>
    </xdr:graphicFrame>
    <xdr:clientData/>
  </xdr:twoCellAnchor>
</xdr:wsDr>
</file>

<file path=xl/tables/table1.xml><?xml version="1.0" encoding="utf-8"?>
<x:table xmlns:x="http://schemas.openxmlformats.org/spreadsheetml/2006/main" id="1" name="CalibrationPass1Table" displayName="CalibrationPass1Table" ref="A1:S21" headerRowCount="1">
  <x:tableColumns count="19">
    <x:tableColumn id="1" name="Order"/>
    <x:tableColumn id="2" name="Pair ID"/>
    <x:tableColumn id="3" name="Stratum"/>
    <x:tableColumn id="4" name="Category"/>
    <x:tableColumn id="5" name="Answerable"/>
    <x:tableColumn id="6" name="Question PT"/>
    <x:tableColumn id="7" name="Expected Answer PT"/>
    <x:tableColumn id="8" name="Question EN"/>
    <x:tableColumn id="9" name="Expected Answer EN"/>
    <x:tableColumn id="10" name="Gold Citations"/>
    <x:tableColumn id="11" name="Gold Evidence"/>
    <x:tableColumn id="12" name="Question Clear"/>
    <x:tableColumn id="13" name="Answer Supported"/>
    <x:tableColumn id="14" name="Citations Exact"/>
    <x:tableColumn id="15" name="Bilingual Equivalent"/>
    <x:tableColumn id="16" name="Decision"/>
    <x:tableColumn id="17" name="Comments"/>
    <x:tableColumn id="18" name="Final Decision"/>
    <x:tableColumn id="19" name="Adjudication Rationale"/>
  </x:tableColumns>
  <x:tableStyleInfo name="TableStyleMedium2" showRowStripes="1"/>
</x:table>
</file>

<file path=xl/tables/table2.xml><?xml version="1.0" encoding="utf-8"?>
<x:table xmlns:x="http://schemas.openxmlformats.org/spreadsheetml/2006/main" id="2" name="CalibrationPass2Table" displayName="CalibrationPass2Table" ref="A1:S21" headerRowCount="1">
  <x:tableColumns count="19">
    <x:tableColumn id="1" name="Order"/>
    <x:tableColumn id="2" name="Pair ID"/>
    <x:tableColumn id="3" name="Stratum"/>
    <x:tableColumn id="4" name="Category"/>
    <x:tableColumn id="5" name="Answerable"/>
    <x:tableColumn id="6" name="Question PT"/>
    <x:tableColumn id="7" name="Expected Answer PT"/>
    <x:tableColumn id="8" name="Question EN"/>
    <x:tableColumn id="9" name="Expected Answer EN"/>
    <x:tableColumn id="10" name="Gold Citations"/>
    <x:tableColumn id="11" name="Gold Evidence"/>
    <x:tableColumn id="12" name="Question Clear"/>
    <x:tableColumn id="13" name="Answer Supported"/>
    <x:tableColumn id="14" name="Citations Exact"/>
    <x:tableColumn id="15" name="Bilingual Equivalent"/>
    <x:tableColumn id="16" name="Decision"/>
    <x:tableColumn id="17" name="Comments"/>
    <x:tableColumn id="18" name="Final Decision"/>
    <x:tableColumn id="19" name="Adjudication Rationale"/>
  </x:tableColumns>
  <x:tableStyleInfo name="TableStyleMedium2" showRowStripes="1"/>
</x:table>
</file>

<file path=xl/tables/table3.xml><?xml version="1.0" encoding="utf-8"?>
<x:table xmlns:x="http://schemas.openxmlformats.org/spreadsheetml/2006/main" id="3" name="FullPairReviewTable" displayName="FullPairReviewTable" ref="A1:S101" headerRowCount="1">
  <x:tableColumns count="19">
    <x:tableColumn id="1" name="Order"/>
    <x:tableColumn id="2" name="Pair ID"/>
    <x:tableColumn id="3" name="Stratum"/>
    <x:tableColumn id="4" name="Category"/>
    <x:tableColumn id="5" name="Answerable"/>
    <x:tableColumn id="6" name="Question PT"/>
    <x:tableColumn id="7" name="Expected Answer PT"/>
    <x:tableColumn id="8" name="Question EN"/>
    <x:tableColumn id="9" name="Expected Answer EN"/>
    <x:tableColumn id="10" name="Gold Citations"/>
    <x:tableColumn id="11" name="Gold Evidence"/>
    <x:tableColumn id="12" name="Question Clear"/>
    <x:tableColumn id="13" name="Answer Supported"/>
    <x:tableColumn id="14" name="Citations Exact"/>
    <x:tableColumn id="15" name="Bilingual Equivalent"/>
    <x:tableColumn id="16" name="Decision"/>
    <x:tableColumn id="17" name="Comments"/>
    <x:tableColumn id="18" name="Final Decision"/>
    <x:tableColumn id="19" name="Adjudication Rationale"/>
  </x:tableColumns>
  <x:tableStyleInfo name="TableStyleMedium2" showRowStripes="1"/>
</x:table>
</file>

<file path=xl/tables/table4.xml><?xml version="1.0" encoding="utf-8"?>
<x:table xmlns:x="http://schemas.openxmlformats.org/spreadsheetml/2006/main" id="4" name="SplitIndexTable" displayName="SplitIndexTable" ref="A1:F101" headerRowCount="1">
  <x:tableColumns count="6">
    <x:tableColumn id="1" name="Pair ID"/>
    <x:tableColumn id="2" name="Split"/>
    <x:tableColumn id="3" name="Stratum"/>
    <x:tableColumn id="4" name="Category"/>
    <x:tableColumn id="5" name="Answerable"/>
    <x:tableColumn id="6" name="Gold Citatio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01818b6696d4d21" /></Relationships>
</file>

<file path=xl/worksheets/_rels/sheet2.xml.rels>&#65279;<?xml version="1.0" encoding="utf-8"?><Relationships xmlns="http://schemas.openxmlformats.org/package/2006/relationships"><Relationship Type="http://schemas.openxmlformats.org/officeDocument/2006/relationships/table" Target="/xl/tables/table1.xml" Id="R6b312be6077a45a3" /></Relationships>
</file>

<file path=xl/worksheets/_rels/sheet3.xml.rels>&#65279;<?xml version="1.0" encoding="utf-8"?><Relationships xmlns="http://schemas.openxmlformats.org/package/2006/relationships"><Relationship Type="http://schemas.openxmlformats.org/officeDocument/2006/relationships/table" Target="/xl/tables/table2.xml" Id="Rb60b016745784da6" /></Relationships>
</file>

<file path=xl/worksheets/_rels/sheet4.xml.rels>&#65279;<?xml version="1.0" encoding="utf-8"?><Relationships xmlns="http://schemas.openxmlformats.org/package/2006/relationships"><Relationship Type="http://schemas.openxmlformats.org/officeDocument/2006/relationships/table" Target="/xl/tables/table3.xml" Id="R4e5f13b2e563433f" /></Relationships>
</file>

<file path=xl/worksheets/_rels/sheet5.xml.rels>&#65279;<?xml version="1.0" encoding="utf-8"?><Relationships xmlns="http://schemas.openxmlformats.org/package/2006/relationships"><Relationship Type="http://schemas.openxmlformats.org/officeDocument/2006/relationships/table" Target="/xl/tables/table4.xml" Id="R81331e3e3f8e49a2" /></Relationships>
</file>

<file path=xl/worksheets/sheet1.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0" hidden="0" customWidth="1"/>
    <x:col min="3" max="3" width="31.110000610351562" hidden="0" customWidth="1"/>
    <x:col min="4" max="4" width="18.329999923706055" hidden="0" customWidth="1"/>
    <x:col min="5" max="5" width="8.890000343322754" hidden="0" customWidth="1"/>
    <x:col min="6" max="6" width="3.3299999237060547" hidden="0" customWidth="1"/>
    <x:col min="7" max="7" width="17.780000686645508" hidden="0" customWidth="1"/>
    <x:col min="8" max="8" width="8.329999923706055" hidden="0" customWidth="1"/>
  </x:cols>
  <x:sheetData>
    <x:row r="1">
      <x:c r="A1" s="4" t="str">
        <x:v>ANVISA RAG Solo Validation Workbook</x:v>
      </x:c>
      <x:c r="B1" s="4"/>
      <x:c r="C1" s="4"/>
      <x:c r="D1" s="4"/>
      <x:c r="E1" s="4"/>
      <x:c r="F1" s="4"/>
      <x:c r="G1" s="4"/>
      <x:c r="H1" s="4"/>
    </x:row>
    <x:row r="2">
      <x:c r="A2" s="4"/>
      <x:c r="B2" s="4"/>
      <x:c r="C2" s="4"/>
      <x:c r="D2" s="4"/>
      <x:c r="E2" s="4"/>
      <x:c r="F2" s="4"/>
      <x:c r="G2" s="4"/>
      <x:c r="H2" s="4"/>
    </x:row>
    <x:row r="4">
      <x:c r="A4" s="8" t="str">
        <x:v>Start with Calibration Pass 1. Do not open Pass 2 until at least seven days later.</x:v>
      </x:c>
      <x:c r="B4" s="8"/>
      <x:c r="C4" s="8"/>
      <x:c r="D4" s="8"/>
      <x:c r="E4" s="8"/>
      <x:c r="F4" s="8"/>
      <x:c r="G4" s="8"/>
      <x:c r="H4" s="8"/>
    </x:row>
    <x:row r="6">
      <x:c r="A6" s="13" t="str">
        <x:v>Benchmark</x:v>
      </x:c>
      <x:c r="B6" s="13" t="str">
        <x:v>Value</x:v>
      </x:c>
      <x:c r="D6" s="13" t="str">
        <x:v>Calibration Progress</x:v>
      </x:c>
      <x:c r="E6" s="13" t="str">
        <x:v>Value</x:v>
      </x:c>
      <x:c r="G6" s="13" t="str">
        <x:v>Calibration Stratum</x:v>
      </x:c>
      <x:c r="H6" s="13" t="str">
        <x:v>Pairs</x:v>
      </x:c>
    </x:row>
    <x:row r="7">
      <x:c r="A7" s="10" t="str">
        <x:v>Bilingual pairs</x:v>
      </x:c>
      <x:c r="B7" s="10" t="n">
        <x:v>100</x:v>
      </x:c>
      <x:c r="D7" s="10" t="str">
        <x:v>Reviewed</x:v>
      </x:c>
      <x:c r="E7" s="10" t="n">
        <x:f>SUM(E8:E10)</x:f>
        <x:v>0</x:v>
      </x:c>
      <x:c r="G7" s="10" t="str">
        <x:v>Direct</x:v>
      </x:c>
      <x:c r="H7" s="10" t="n">
        <x:v>14</x:v>
      </x:c>
    </x:row>
    <x:row r="8">
      <x:c r="A8" s="10" t="str">
        <x:v>Calibration pairs</x:v>
      </x:c>
      <x:c r="B8" s="10" t="n">
        <x:v>20</x:v>
      </x:c>
      <x:c r="D8" s="10" t="str">
        <x:v>Keep</x:v>
      </x:c>
      <x:c r="E8" s="10" t="n">
        <x:f>COUNTIF('Calibration Pass 1'!P2:P21,"Keep")</x:f>
        <x:v>0</x:v>
      </x:c>
      <x:c r="G8" s="10" t="str">
        <x:v>Complex</x:v>
      </x:c>
      <x:c r="H8" s="10" t="n">
        <x:v>2</x:v>
      </x:c>
    </x:row>
    <x:row r="9">
      <x:c r="A9" s="10" t="str">
        <x:v>Development remaining</x:v>
      </x:c>
      <x:c r="B9" s="10" t="n">
        <x:v>5</x:v>
      </x:c>
      <x:c r="D9" s="10" t="str">
        <x:v>Revise</x:v>
      </x:c>
      <x:c r="E9" s="10" t="n">
        <x:f>COUNTIF('Calibration Pass 1'!P2:P21,"Revise")</x:f>
        <x:v>0</x:v>
      </x:c>
      <x:c r="G9" s="10" t="str">
        <x:v>Unanswerable</x:v>
      </x:c>
      <x:c r="H9" s="10" t="n">
        <x:v>4</x:v>
      </x:c>
    </x:row>
    <x:row r="10">
      <x:c r="A10" s="10" t="str">
        <x:v>Held-out pairs</x:v>
      </x:c>
      <x:c r="B10" s="10" t="n">
        <x:v>75</x:v>
      </x:c>
      <x:c r="D10" s="10" t="str">
        <x:v>Drop</x:v>
      </x:c>
      <x:c r="E10" s="10" t="n">
        <x:f>COUNTIF('Calibration Pass 1'!P2:P21,"Drop")</x:f>
        <x:v>0</x:v>
      </x:c>
      <x:c r="G10" s="10" t="str">
        <x:v>Total</x:v>
      </x:c>
      <x:c r="H10" s="10" t="n">
        <x:v>20</x:v>
      </x:c>
    </x:row>
    <x:row r="11">
      <x:c r="D11" s="10" t="str">
        <x:v>All four checks pass</x:v>
      </x:c>
      <x:c r="E11" s="10" t="n">
        <x:f>COUNTIFS('Calibration Pass 1'!L2:L21,1,'Calibration Pass 1'!M2:M21,1,'Calibration Pass 1'!N2:N21,1,'Calibration Pass 1'!O2:O21,1)</x:f>
        <x:v>0</x:v>
      </x:c>
    </x:row>
    <x:row r="12">
      <x:c r="D12" s="10" t="str">
        <x:v>Completion</x:v>
      </x:c>
      <x:c r="E12" s="11" t="n">
        <x:f>E7/20</x:f>
        <x:v>0</x:v>
      </x:c>
    </x:row>
    <x:row r="14">
      <x:c r="A14" s="14" t="str">
        <x:v>Review sequence</x:v>
      </x:c>
      <x:c r="B14" s="14"/>
      <x:c r="C14" s="14"/>
      <x:c r="D14" s="14"/>
      <x:c r="E14" s="14"/>
      <x:c r="F14" s="14"/>
      <x:c r="G14" s="14"/>
      <x:c r="H14" s="14"/>
    </x:row>
    <x:row r="15">
      <x:c r="A15" s="17" t="str">
        <x:v>1</x:v>
      </x:c>
      <x:c r="B15" s="17" t="str">
        <x:v>Validate question clarity</x:v>
      </x:c>
      <x:c r="C15" s="17" t="str">
        <x:v>Use only the cited source evidence.</x:v>
      </x:c>
      <x:c r="D15" s="17" t="str"/>
      <x:c r="E15" s="17" t="str"/>
      <x:c r="F15" s="17" t="str"/>
      <x:c r="G15" s="17" t="str"/>
      <x:c r="H15" s="17" t="str"/>
    </x:row>
    <x:row r="16">
      <x:c r="A16" s="17" t="str">
        <x:v>2</x:v>
      </x:c>
      <x:c r="B16" s="17" t="str">
        <x:v>Validate expected answer</x:v>
      </x:c>
      <x:c r="C16" s="17" t="str">
        <x:v>Every material claim must appear in the evidence.</x:v>
      </x:c>
      <x:c r="D16" s="17" t="str"/>
      <x:c r="E16" s="17" t="str"/>
      <x:c r="F16" s="17" t="str"/>
      <x:c r="G16" s="17" t="str"/>
      <x:c r="H16" s="17" t="str"/>
    </x:row>
    <x:row r="17">
      <x:c r="A17" s="17" t="str">
        <x:v>3</x:v>
      </x:c>
      <x:c r="B17" s="17" t="str">
        <x:v>Validate citations</x:v>
      </x:c>
      <x:c r="C17" s="17" t="str">
        <x:v>Check regulation, article, and source exactly.</x:v>
      </x:c>
      <x:c r="D17" s="17" t="str"/>
      <x:c r="E17" s="17" t="str"/>
      <x:c r="F17" s="17" t="str"/>
      <x:c r="G17" s="17" t="str"/>
      <x:c r="H17" s="17" t="str"/>
    </x:row>
    <x:row r="18">
      <x:c r="A18" s="17" t="str">
        <x:v>4</x:v>
      </x:c>
      <x:c r="B18" s="17" t="str">
        <x:v>Validate bilingual equivalence</x:v>
      </x:c>
      <x:c r="C18" s="17" t="str">
        <x:v>PT and EN must ask the same substantive question.</x:v>
      </x:c>
      <x:c r="D18" s="17" t="str"/>
      <x:c r="E18" s="17" t="str"/>
      <x:c r="F18" s="17" t="str"/>
      <x:c r="G18" s="17" t="str"/>
      <x:c r="H18" s="17" t="str"/>
    </x:row>
    <x:row r="19">
      <x:c r="A19" s="17" t="str">
        <x:v>5</x:v>
      </x:c>
      <x:c r="B19" s="17" t="str">
        <x:v>Choose Keep, Revise, or Drop</x:v>
      </x:c>
      <x:c r="C19" s="17" t="str">
        <x:v>Explain every Revise or Drop decision.</x:v>
      </x:c>
      <x:c r="D19" s="17" t="str"/>
      <x:c r="E19" s="17" t="str"/>
      <x:c r="F19" s="17" t="str"/>
      <x:c r="G19" s="17" t="str"/>
      <x:c r="H19" s="17" t="str"/>
    </x:row>
  </x:sheetData>
  <x:mergeCells>
    <x:mergeCell ref="A1:H2"/>
    <x:mergeCell ref="A4:H4"/>
    <x:mergeCell ref="A14:H14"/>
  </x:mergeCells>
  <x:pageMargins left="0.7" right="0.7" top="0.75" bottom="0.75" header="0.3" footer="0.3"/>
  <x:drawing xmlns:r="http://schemas.openxmlformats.org/officeDocument/2006/relationships" r:id="Rd01818b6696d4d21"/>
</x:worksheet>
</file>

<file path=xl/worksheets/sheet2.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1.670000076293945" hidden="0" customWidth="1"/>
    <x:col min="3" max="3" width="10" hidden="0" customWidth="1"/>
    <x:col min="4" max="4" width="15" hidden="0" customWidth="1"/>
    <x:col min="5" max="5" width="9.4399995803833" hidden="0" customWidth="1"/>
    <x:col min="6" max="6" width="28.889999389648438" hidden="0" customWidth="1"/>
    <x:col min="7" max="7" width="33.33000183105469" hidden="0" customWidth="1"/>
    <x:col min="8" max="8" width="28.889999389648438" hidden="0" customWidth="1"/>
    <x:col min="9" max="9" width="33.33000183105469" hidden="0" customWidth="1"/>
    <x:col min="10" max="10" width="18.889999389648438" hidden="0" customWidth="1"/>
    <x:col min="11" max="11" width="46.66999816894531" hidden="0" customWidth="1"/>
    <x:col min="12" max="12" width="9.4399995803833" hidden="0" customWidth="1"/>
    <x:col min="13" max="13" width="10.5600004196167" hidden="0" customWidth="1"/>
    <x:col min="14" max="14" width="10" hidden="0" customWidth="1"/>
    <x:col min="15" max="15" width="12.220000267028809" hidden="0" customWidth="1"/>
    <x:col min="16" max="16" width="9.4399995803833" hidden="0" customWidth="1"/>
    <x:col min="17" max="17" width="24.440000534057617" hidden="0" customWidth="1"/>
    <x:col min="18" max="18" width="10.5600004196167" hidden="0" customWidth="1"/>
    <x:col min="19" max="19" width="26.670000076293945" hidden="0" customWidth="1"/>
  </x:cols>
  <x:sheetData>
    <x:row r="1" ht="31.5" customHeight="1">
      <x:c r="A1" s="19" t="str">
        <x:v>Order</x:v>
      </x:c>
      <x:c r="B1" s="19" t="str">
        <x:v>Pair ID</x:v>
      </x:c>
      <x:c r="C1" s="19" t="str">
        <x:v>Stratum</x:v>
      </x:c>
      <x:c r="D1" s="19" t="str">
        <x:v>Category</x:v>
      </x:c>
      <x:c r="E1" s="19" t="str">
        <x:v>Answerable</x:v>
      </x:c>
      <x:c r="F1" s="19" t="str">
        <x:v>Question PT</x:v>
      </x:c>
      <x:c r="G1" s="19" t="str">
        <x:v>Expected Answer PT</x:v>
      </x:c>
      <x:c r="H1" s="19" t="str">
        <x:v>Question EN</x:v>
      </x:c>
      <x:c r="I1" s="19" t="str">
        <x:v>Expected Answer EN</x:v>
      </x:c>
      <x:c r="J1" s="19" t="str">
        <x:v>Gold Citations</x:v>
      </x:c>
      <x:c r="K1" s="19" t="str">
        <x:v>Gold Evidence</x:v>
      </x:c>
      <x:c r="L1" s="19" t="str">
        <x:v>Question Clear</x:v>
      </x:c>
      <x:c r="M1" s="19" t="str">
        <x:v>Answer Supported</x:v>
      </x:c>
      <x:c r="N1" s="19" t="str">
        <x:v>Citations Exact</x:v>
      </x:c>
      <x:c r="O1" s="19" t="str">
        <x:v>Bilingual Equivalent</x:v>
      </x:c>
      <x:c r="P1" s="19" t="str">
        <x:v>Decision</x:v>
      </x:c>
      <x:c r="Q1" s="19" t="str">
        <x:v>Comments</x:v>
      </x:c>
      <x:c r="R1" s="19" t="str">
        <x:v>Final Decision</x:v>
      </x:c>
      <x:c r="S1" s="19" t="str">
        <x:v>Adjudication Rationale</x:v>
      </x:c>
    </x:row>
    <x:row r="2" ht="88.5" customHeight="1">
      <x:c r="A2" s="23" t="n">
        <x:v>1</x:v>
      </x:c>
      <x:c r="B2" s="23" t="str">
        <x:v>COMPLEX_08</x:v>
      </x:c>
      <x:c r="C2" s="23" t="str">
        <x:v>Complex</x:v>
      </x:c>
      <x:c r="D2" s="23" t="str">
        <x:v>multi_article</x:v>
      </x:c>
      <x:c r="E2" s="23" t="str">
        <x:v>Yes</x:v>
      </x:c>
      <x:c r="F2" s="22" t="str">
        <x:v>Quais documentos e planos devem ser apresentados pela empresa solicitante no ato do protocolo de pedido de registro de um produto biológico?</x:v>
      </x:c>
      <x:c r="G2" s="22" t="str">
        <x:v>A empresa deve apresentar um processo único contendo: plano de farmacovigilância, plano de minimização de risco, formulários FP1 e FP2, comprovante de pagamento da taxa, declaração de porte, Licença de Funcionamento/Alvará, Certificado de Autorização de Funcionamento, Certificado de Responsabilidade Técnica, justificativa técnica, CBPF (Anvisa e país de origem), histórico de registro, comprovante de registro no país de origem, bula (modelo e tradução), embalagens, dados de farmacovigilância, código de barras (GTIN), compêndio de especificações, informações de EET, relatório técnico, relatório de experimentação terapêutica e relatório de farmacovigilância.</x:v>
      </x:c>
      <x:c r="H2" s="22" t="str">
        <x:v>What documents and plans must be submitted by the applicant company at the time of the registration request protocol for a biological product?</x:v>
      </x:c>
      <x:c r="I2" s="22" t="str">
        <x:v>The company must submit a single process containing: pharmacovigilance plan, risk minimization plan, FP1 and FP2 forms, proof of fee payment, company size declaration, Operating License/Sanitary Permit, Certificate of Authorization, Technical Responsibility Certificate, technical justification, CBPF (Anvisa and country of origin), registration history, proof of registration in the country of origin, package insert (model and translation), packaging, pharmacovigilance data, barcode (GTIN), specification compendium, TSE information, technical report, therapeutic experimentation report, and pharmacovigilance report.</x:v>
      </x:c>
      <x:c r="J2" s="22" t="str">
        <x:v>RDC 55/2010, Art. 29; RDC 55/2010, Art. 30</x:v>
      </x:c>
      <x:c r="K2" s="22" t="str">
        <x:v>Art. 29. Independentemente da via de desenvolvimento utilizada, no ato do protocolo do pedido de registro de um produto biológico novo ou produto biológico, a empresa solicitante deverá apresentar um plano de farmacovigilância e um plano de minimização de risco de acordo com a legislação sanitária vigente. DE PRODUTOS BIOLÓGICOS e Produtos Biológicos
Art. 30. No ato do protocolo de pedido de registro de um produto biológico novo ou produto biológico, a empresa solicitante deverá protocolar um processo único, apresentando os seguintes documentos: I - formulários de petição de registro - FP1 e FP2, devidamente preenchidos; II - via original do comprovante de pagamento da taxa de fiscalização de vigilância sanitária, devidamente autenticada e/ou carimbada pelo banco, ou comprovante de isenção quando for o caso; III - declaração do enquadramento do porte (capacidade econômica) da empresa; IV - cópia da Licença de Funcionamento da Empresa e/ou do Alvará Sanitário; V - cópia do Certificado de Autorização de Funcionamento da Empresa ou de sua publicação em Diário Oficial da União (DOU); VI - cópia do Certificado de Responsabilidade Técnica atualizado, emitido pelo Conselho Regional de Farmácia, comprovando que a empresa solicitante e/ou fabricante tem assistência do farmacêutico responsável habilitado para aquele fim; VII - justificativa técnica para o registro do produto; VIII - cópia do Certificado de Boas Práticas de Fabricação (CBPF) expedido pela Anvisa para todos os fabricantes do princípio ativo, do produto biológico a granel, do produto biológico em sua embalagem primária, do produto biológico terminado, do diluente e do adjuvante; IX - cópia do CBPF, emitido pela autoridade sanitária competente do país onde se localiza o fabricante do princípio ativo, do produto biológico a granel, do produto biológico em sua embalagem primária, do produto biológico terminado, do diluente e do adjuvante; X - histórico da situação de registro do produto biológico em outros países, quando for o caso; XI - cópia do comprovante de registro no país de origem do produto biológico, emitido pela respectiva Autoridade Sanitária competente; XII - cópia do modelo de bula aprovada pela autoridade sanitária competente do país de origem, acompanhada de tradução juramentada; XIII - modelos de bula e embalagens primária e secundária, de acordo com a legislação vigente; XIV - dados de farmacovigilância atualizados, de acordo com a legislação sanitária vigente, obtidos de estudos clínicos e da comercialização do produto, quando aplicável; XV - código de barras (GTIN), para toda(s) a(s) apresentação(ões) ou mecanismos de identificação e segurança que possibilitem o rastreamento do produto de acordo com a legislação sanitária vigente; XVI - cópia do compêndio nacional, internacional ou interno da empresa com a determinação das especificações do produto biológico terminado; XVII - informações adicionais de acordo com a legislação vigente sobre o controle de EET, quando aplicável; XVIII - relatório técnico; XIX - relatório de experimentação terapêutica; e XX - relatório de farmacovigilância. Biológico</x:v>
      </x:c>
      <x:c r="L2" s="21" t="str"/>
      <x:c r="M2" s="21" t="str"/>
      <x:c r="N2" s="21" t="str"/>
      <x:c r="O2" s="21" t="str"/>
      <x:c r="P2" s="21" t="str"/>
      <x:c r="Q2" s="22" t="str"/>
      <x:c r="R2" s="22" t="str"/>
      <x:c r="S2" s="22" t="str"/>
    </x:row>
    <x:row r="3" ht="88.5" customHeight="1">
      <x:c r="A3" s="23" t="n">
        <x:v>2</x:v>
      </x:c>
      <x:c r="B3" s="23" t="str">
        <x:v>DIRECT_56</x:v>
      </x:c>
      <x:c r="C3" s="23" t="str">
        <x:v>Direct</x:v>
      </x:c>
      <x:c r="D3" s="23" t="str">
        <x:v>direct_article</x:v>
      </x:c>
      <x:c r="E3" s="23" t="str">
        <x:v>Yes</x:v>
      </x:c>
      <x:c r="F3" s="22" t="str">
        <x:v>A decisão da Anvisa sobre petições submetidas via procedimento otimizado de análise está vinculada às decisões da AREE?</x:v>
      </x:c>
      <x:c r="G3" s="22" t="str">
        <x:v>Não. A decisão é de competência exclusiva da Anvisa e não está vinculada às decisões e às condições aprovadas pela AREE.</x:v>
      </x:c>
      <x:c r="H3" s="22" t="str">
        <x:v>Is Anvisa's decision on petitions submitted via the optimized analysis procedure bound by AREE's decisions?</x:v>
      </x:c>
      <x:c r="I3" s="22" t="str">
        <x:v>No. The decision is under the exclusive competence of Anvisa and is not linked to the decisions and conditions approved by the AREE.</x:v>
      </x:c>
      <x:c r="J3" s="22" t="str">
        <x:v>IN 338/2024, Art. 10</x:v>
      </x:c>
      <x:c r="K3" s="22" t="str">
        <x:v>Art. 10 A decisão sobre as petições submetidas pelo procedimento otimizado de análise com base em práticas de confiança regulatória (Reliance) é de competência exclusiva da Anvisa e não está vinculada às decisões e às condições aprovadas pela AREE.</x:v>
      </x:c>
      <x:c r="L3" s="21" t="str"/>
      <x:c r="M3" s="21" t="str"/>
      <x:c r="N3" s="21" t="str"/>
      <x:c r="O3" s="21" t="str"/>
      <x:c r="P3" s="21" t="str"/>
      <x:c r="Q3" s="22" t="str"/>
      <x:c r="R3" s="22" t="str"/>
      <x:c r="S3" s="22" t="str"/>
    </x:row>
    <x:row r="4" ht="88.5" customHeight="1">
      <x:c r="A4" s="23" t="n">
        <x:v>3</x:v>
      </x:c>
      <x:c r="B4" s="23" t="str">
        <x:v>DIRECT_49</x:v>
      </x:c>
      <x:c r="C4" s="23" t="str">
        <x:v>Direct</x:v>
      </x:c>
      <x:c r="D4" s="23" t="str">
        <x:v>direct_article</x:v>
      </x:c>
      <x:c r="E4" s="23" t="str">
        <x:v>Yes</x:v>
      </x:c>
      <x:c r="F4" s="22" t="str">
        <x:v>Quais são os requisitos de equivalência documental para que a Anvisa aplique o procedimento otimizado de análise baseado em práticas de confiança regulatória (Reliance)?</x:v>
      </x:c>
      <x:c r="G4" s="22" t="str">
        <x:v>As versões do Dossiê do Produto sob Investigação (DPI) ou Investigational Medicinal Product Dossier (IMPD), do protocolo clínico ou da emenda substancial ao protocolo clínico devem ser as mesmas aprovadas por pelo menos uma das AREEs listadas: EMA (e países membros), Health Canada (HC), Swissmedic, MHRA (Reino Unido), FDA (EUA) ou PMDA (Japão).</x:v>
      </x:c>
      <x:c r="H4" s="22" t="str">
        <x:v>What are the document equivalence requirements for Anvisa to apply the optimized analysis procedure based on regulatory reliance practices?</x:v>
      </x:c>
      <x:c r="I4" s="22" t="str">
        <x:v>The versions of the Investigational Medicinal Product Dossier (IMPD) or Dossiê do Produto sob Investigação (DPI), clinical protocol, or substantial amendment to the clinical protocol must be the same as those approved by at least one of the listed AREEs: EMA (and member countries), Health Canada (HC), Swissmedic, MHRA (UK), FDA (USA), or PMDA (Japan).</x:v>
      </x:c>
      <x:c r="J4" s="22" t="str">
        <x:v>IN 338/2024, Art. 5</x:v>
      </x:c>
      <x:c r="K4" s="22" t="str">
        <x:v>Art. 5º Para a aplicação do procedimento otimizado de análise com base em práticas de confiança regulatória (Reliance), as versões do Dossiê do Produto sob Investigação (DPI) ou Investigational Medicinal Product Dossier (IMPD), do protocolo clínico ou da emenda substancial ao protocolo clínico apresentadas à Anvisa devem ser as mesmas aprovadas por pelo menos uma das seguintes AREEs: 1- Agência Europeia de Medicamentos - European Medicines Agency (EMA) e seus países membro; 2- Agência Canadense de Saúde - Health Canada (HC); 3- Agência Suíça de Produtos Terapêuticos - Swissmedic; 4- Agência Reguladora de Medicamentos e Produtos de Saúde - Medicines and Healthcare Products Regulatory Agency (MHRA) - Reino Unido; 5- Agência Reguladora dos Estados Unidos - US Food and Drug Administration (FDA); 6- Agência Reguladora do Japão - Pharmaceuticals and Medical Devices Agency (PMDA). Parágrafo único. A exclusão ou inclusão de novas AREEs se dará por meio de decisão da Diretoria Colegiada da Anvisa (DICOL).</x:v>
      </x:c>
      <x:c r="L4" s="21" t="str"/>
      <x:c r="M4" s="21" t="str"/>
      <x:c r="N4" s="21" t="str"/>
      <x:c r="O4" s="21" t="str"/>
      <x:c r="P4" s="21" t="str"/>
      <x:c r="Q4" s="22" t="str"/>
      <x:c r="R4" s="22" t="str"/>
      <x:c r="S4" s="22" t="str"/>
    </x:row>
    <x:row r="5" ht="88.5" customHeight="1">
      <x:c r="A5" s="23" t="n">
        <x:v>4</x:v>
      </x:c>
      <x:c r="B5" s="23" t="str">
        <x:v>DIRECT_10</x:v>
      </x:c>
      <x:c r="C5" s="23" t="str">
        <x:v>Direct</x:v>
      </x:c>
      <x:c r="D5" s="23" t="str">
        <x:v>direct_article</x:v>
      </x:c>
      <x:c r="E5" s="23" t="str">
        <x:v>Yes</x:v>
      </x:c>
      <x:c r="F5" s="22" t="str">
        <x:v>Qual é a condição necessária para que o patrocinador submeta um DDCM à Anvisa?</x:v>
      </x:c>
      <x:c r="G5" s="22" t="str">
        <x:v>O patrocinador deve submeter o DDCM somente se pretender realizar ensaios clínicos com medicamentos em território nacional, devendo protocolizar pelo menos um dossiê específico de ensaio clínico.</x:v>
      </x:c>
      <x:c r="H5" s="22" t="str">
        <x:v>What is the necessary condition for a sponsor to submit a DDCM to Anvisa?</x:v>
      </x:c>
      <x:c r="I5" s="22" t="str">
        <x:v>The sponsor must submit the DDCM only if they intend to conduct clinical trials with drugs in the national territory, and must file at least one specific clinical trial dossier.</x:v>
      </x:c>
      <x:c r="J5" s="22" t="str">
        <x:v>RDC 9/2015, Art. 34</x:v>
      </x:c>
      <x:c r="K5" s="22" t="str">
        <x:v>Art. 34 . O patrocinador deve submeter um DDCM à Anvisa somente no caso em que pretenda realizar ensaios clínicos com medicamentos em território nacional. Parágrafo único. Para fins de análise do DDCM, deve ser protocolizado pelo menos um dossiê específico de ensaio clínico a ser realizado no Brasil.</x:v>
      </x:c>
      <x:c r="L5" s="21" t="str"/>
      <x:c r="M5" s="21" t="str"/>
      <x:c r="N5" s="21" t="str"/>
      <x:c r="O5" s="21" t="str"/>
      <x:c r="P5" s="21" t="str"/>
      <x:c r="Q5" s="22" t="str"/>
      <x:c r="R5" s="22" t="str"/>
      <x:c r="S5" s="22" t="str"/>
    </x:row>
    <x:row r="6" ht="88.5" customHeight="1">
      <x:c r="A6" s="23" t="n">
        <x:v>5</x:v>
      </x:c>
      <x:c r="B6" s="23" t="str">
        <x:v>DIRECT_35</x:v>
      </x:c>
      <x:c r="C6" s="23" t="str">
        <x:v>Direct</x:v>
      </x:c>
      <x:c r="D6" s="23" t="str">
        <x:v>direct_article</x:v>
      </x:c>
      <x:c r="E6" s="23" t="str">
        <x:v>Yes</x:v>
      </x:c>
      <x:c r="F6" s="22" t="str">
        <x:v>O dossiê técnico de um dispositivo médico deve ser protocolado na Anvisa no momento da notificação?</x:v>
      </x:c>
      <x:c r="G6" s="22" t="str">
        <x:v>Não. O dossiê técnico não deve ser protocolado na Anvisa, devendo permanecer de posse da empresa detentora da notificação para fins de fiscalização pelo Sistema Nacional de Vigilância Sanitária.</x:v>
      </x:c>
      <x:c r="H6" s="22" t="str">
        <x:v>Must the technical dossier of a medical device be filed with Anvisa at the time of notification?</x:v>
      </x:c>
      <x:c r="I6" s="22" t="str">
        <x:v>No. The technical dossier must not be filed with Anvisa; it must remain in the possession of the company holding the notification for inspection purposes by the National Health Surveillance System.</x:v>
      </x:c>
      <x:c r="J6" s="22" t="str">
        <x:v>RDC 751/2022, Art. 56</x:v>
      </x:c>
      <x:c r="K6" s="22" t="str">
        <x:v>Art. 56. É responsabilidade do detentor da notificação de dispositivo médico manter o dossiê técnico atualizado, contendo todos os documentos e informações indicados nesta Resolução, para fins de fiscalização por parte do Sistema Nacional de Vigilância Sanitária. § 1º Este Dossiê Técnico não deve ser protocolado na Anvisa como parte da solicitação de notificação do produto, devendo permanecer de posse da empresa detentora da notificação. § 2º O Dossiê Técnico não precisa corresponder a um arquivo físico ou eletrônico contendo todas as informações abaixo descritas, podendo ser composto por referências a documentos e informações que compõem outros arquivos ou registros do Sistema de Qualidade da empresa, os quais deverão estar disponíveis para fiscalização do Sistema Nacional de Vigilância Sanitária. § 3º Em casos específicos, quando averiguações e investigações forem necessárias, poderá ser solicitado o envio do Dossiê Técnico à Anvisa.</x:v>
      </x:c>
      <x:c r="L6" s="21" t="str"/>
      <x:c r="M6" s="21" t="str"/>
      <x:c r="N6" s="21" t="str"/>
      <x:c r="O6" s="21" t="str"/>
      <x:c r="P6" s="21" t="str"/>
      <x:c r="Q6" s="22" t="str"/>
      <x:c r="R6" s="22" t="str"/>
      <x:c r="S6" s="22" t="str"/>
    </x:row>
    <x:row r="7" ht="88.5" customHeight="1">
      <x:c r="A7" s="23" t="n">
        <x:v>6</x:v>
      </x:c>
      <x:c r="B7" s="23" t="str">
        <x:v>UNANS_14</x:v>
      </x:c>
      <x:c r="C7" s="23" t="str">
        <x:v>Unanswerable</x:v>
      </x:c>
      <x:c r="D7" s="23" t="str">
        <x:v>unanswerable_ethics_decision</x:v>
      </x:c>
      <x:c r="E7" s="23" t="str">
        <x:v>No</x:v>
      </x:c>
      <x:c r="F7" s="22" t="str">
        <x:v>O comitê de ética aprovará este protocolo clínico específico?</x:v>
      </x:c>
      <x:c r="G7" s="22" t="str">
        <x:v>Os documentos recuperados nao fornecem informacao suficiente para responder.</x:v>
      </x:c>
      <x:c r="H7" s="22" t="str">
        <x:v>Will the ethics committee approve this specific clinical protocol?</x:v>
      </x:c>
      <x:c r="I7" s="22" t="str">
        <x:v>The retrieved documents do not provide enough information to answer.</x:v>
      </x:c>
      <x:c r="J7" s="22" t="str"/>
      <x:c r="K7" s="22" t="str"/>
      <x:c r="L7" s="21" t="str"/>
      <x:c r="M7" s="21" t="str"/>
      <x:c r="N7" s="21" t="str"/>
      <x:c r="O7" s="21" t="str"/>
      <x:c r="P7" s="21" t="str"/>
      <x:c r="Q7" s="22" t="str"/>
      <x:c r="R7" s="22" t="str"/>
      <x:c r="S7" s="22" t="str"/>
    </x:row>
    <x:row r="8" ht="88.5" customHeight="1">
      <x:c r="A8" s="23" t="n">
        <x:v>7</x:v>
      </x:c>
      <x:c r="B8" s="23" t="str">
        <x:v>DIRECT_53</x:v>
      </x:c>
      <x:c r="C8" s="23" t="str">
        <x:v>Direct</x:v>
      </x:c>
      <x:c r="D8" s="23" t="str">
        <x:v>direct_article</x:v>
      </x:c>
      <x:c r="E8" s="23" t="str">
        <x:v>Yes</x:v>
      </x:c>
      <x:c r="F8" s="22" t="str">
        <x:v>Qual é o procedimento caso os critérios para a análise baseada em confiança regulatória (Reliance) não sejam atendidos?</x:v>
      </x:c>
      <x:c r="G8" s="22" t="str">
        <x:v>O status da petição será atualizado para "Não Anuído", será realizada a análise integral de todos os documentos vinculados à petição conforme a RDC nº 945/2024 e será enviado um ofício à empresa com a justificativa.</x:v>
      </x:c>
      <x:c r="H8" s="22" t="str">
        <x:v>What is the procedure if the criteria for analysis based on regulatory reliance are not met?</x:v>
      </x:c>
      <x:c r="I8" s="22" t="str">
        <x:v>The petition status will be updated to "Not Approved" (Não Anuído), a full analysis of all documents linked to the petition will be conducted according to RDC No. 945/2024, and an official letter with the justification will be sent to the company.</x:v>
      </x:c>
      <x:c r="J8" s="22" t="str">
        <x:v>IN 338/2024, Art. 7</x:v>
      </x:c>
      <x:c r="K8" s="22" t="str">
        <x:v>Art. 7º° A solicitação da aplicação do procedimento otimizado de análise com base em práticas de confiança regulatória (Reliance) poderá ser peticionada pelo patrocinador a qualquer momento, por meio de petição secundária, antes de iniciada a análise da petição correspondente. §1° Se cumpridos os critérios para a aplicação do procedimento otimizado de análise com base em práticas de confiança regulatória (Reliance), o status da petição secundária da solicitação será atualizado para "Anuído". §2° No caso de não cumprimento dos critérios para a aplicação do procedimento otimizado de análise, com base em práticas de confiança regulatória (Reliance), o status da petição secundária da solicitação será atualizado para "Não Anuído" e será realizada a análise integral de todos os documentos vinculados à petição, conforme descritos na Resolução da Diretoria Colegiada Anvisa nº 945/2024 . (Redação dada pela Instrução Normativa - IN nº 345, de 20/02/2025 ) Redações Anteriores §3° Na hipótese do §2º, será enviado ofício à empresa com a respectiva justificativa.</x:v>
      </x:c>
      <x:c r="L8" s="21" t="str"/>
      <x:c r="M8" s="21" t="str"/>
      <x:c r="N8" s="21" t="str"/>
      <x:c r="O8" s="21" t="str"/>
      <x:c r="P8" s="21" t="str"/>
      <x:c r="Q8" s="22" t="str"/>
      <x:c r="R8" s="22" t="str"/>
      <x:c r="S8" s="22" t="str"/>
    </x:row>
    <x:row r="9" ht="88.5" customHeight="1">
      <x:c r="A9" s="23" t="n">
        <x:v>8</x:v>
      </x:c>
      <x:c r="B9" s="23" t="str">
        <x:v>DIRECT_34</x:v>
      </x:c>
      <x:c r="C9" s="23" t="str">
        <x:v>Direct</x:v>
      </x:c>
      <x:c r="D9" s="23" t="str">
        <x:v>direct_article</x:v>
      </x:c>
      <x:c r="E9" s="23" t="str">
        <x:v>Yes</x:v>
      </x:c>
      <x:c r="F9" s="22" t="str">
        <x:v>Quais informações devem obrigatoriamente constar no modelo de rótulo de um dispositivo médico?</x:v>
      </x:c>
      <x:c r="G9" s="22" t="str">
        <x:v>O rótulo deve conter: razão social e endereço do fabricante legal e do detentor do registro/notificação, identificação do dispositivo e conteúdo, método de esterilização (se aplicável), lote ou número de série, data de fabricação e validade, indicação de uso único (se aplicável), condições de armazenamento, instruções de uso, advertências, nome do responsável técnico e número da notificação ou registro.</x:v>
      </x:c>
      <x:c r="H9" s="22" t="str">
        <x:v>What information must mandatorily appear on the label model of a medical device?</x:v>
      </x:c>
      <x:c r="I9" s="22" t="str">
        <x:v>The label must contain: legal name and address of the legal manufacturer and the registration/notification holder, device identification and content, sterilization method (if applicable), lot or serial number, manufacturing and expiration date, single-use indication (if applicable), storage conditions, instructions for use, warnings, name of the technical manager, and the notification or registration number.</x:v>
      </x:c>
      <x:c r="J9" s="22" t="str">
        <x:v>RDC 751/2022, Art. 47</x:v>
      </x:c>
      <x:c r="K9" s="22" t="str">
        <x:v>Art. 47. O modelo de rótulo deve conter as seguintes informações: I - razão social e endereço do fabricante legal, precedido do termo "fabricante" ou de simbologia equivalente; II - razão social e endereço do detentor da notificação ou do registro; III - as informações necessárias para que o usuário possa identificar o dispositivo médico e o conteúdo de sua embalagem; IV - quando aplicável, a palavra "Estéril" e o método de esterilização; V - o código do lote, precedido da palavra "Lote", ou o número de série, conforme o caso; VI - conforme aplicável, data de fabricação e prazo de validade ou data antes da qual o dispositivo médico deverá ser utilizado; VII - quando aplicável, a indicação de que o dispositivo médico é de uso único; VIII - as condições específicas de armazenamento, conservação e manipulação do produto; IX - as instruções especiais para operação e/ou uso do dispositivo médico; X - todas as advertências e precauções a serem adotadas; XI - nome do responsável técnico legalmente habilitado para a função; XII - número da notificação ou do registro do dispositivo médico, precedido da sigla de identificação da Anvisa.</x:v>
      </x:c>
      <x:c r="L9" s="21" t="str"/>
      <x:c r="M9" s="21" t="str"/>
      <x:c r="N9" s="21" t="str"/>
      <x:c r="O9" s="21" t="str"/>
      <x:c r="P9" s="21" t="str"/>
      <x:c r="Q9" s="22" t="str"/>
      <x:c r="R9" s="22" t="str"/>
      <x:c r="S9" s="22" t="str"/>
    </x:row>
    <x:row r="10" ht="88.5" customHeight="1">
      <x:c r="A10" s="23" t="n">
        <x:v>9</x:v>
      </x:c>
      <x:c r="B10" s="23" t="str">
        <x:v>DIRECT_02</x:v>
      </x:c>
      <x:c r="C10" s="23" t="str">
        <x:v>Direct</x:v>
      </x:c>
      <x:c r="D10" s="23" t="str">
        <x:v>direct_article</x:v>
      </x:c>
      <x:c r="E10" s="23" t="str">
        <x:v>Yes</x:v>
      </x:c>
      <x:c r="F10" s="22" t="str">
        <x:v>Qual é o prazo e o conteúdo obrigatório da notificação à Anvisa em caso de suspensão temporária de um ensaio clínico por motivos de segurança?</x:v>
      </x:c>
      <x:c r="G10" s="22" t="str">
        <x:v>O patrocinador deve notificar a Anvisa em até 7 dias corridos, justificando os motivos e explicando com clareza as razões, a abrangência, a interrupção do tratamento e a suspensão do recrutamento.</x:v>
      </x:c>
      <x:c r="H10" s="22" t="str">
        <x:v>What is the deadline and mandatory content for notifying Anvisa in the event of a temporary clinical trial suspension for safety reasons?</x:v>
      </x:c>
      <x:c r="I10" s="22" t="str">
        <x:v>The sponsor must notify Anvisa within 7 calendar days, justifying the reasons and clearly explaining the grounds, scope, treatment interruption, and suspension of participant recruitment.</x:v>
      </x:c>
      <x:c r="J10" s="22" t="str">
        <x:v>RDC 9/2015, Art. 52</x:v>
      </x:c>
      <x:c r="K10" s="22" t="str">
        <x:v>Art. 52 . Nos casos de suspensão temporária do ensaio clí nico ou DDCM como medida imediata de segurança, o patrocinador deve notificar à Anvisa no prazo de 7 (sete) dias corridos a contar da data de suspensão, justificando os motivos. Parágrafo único. As razões, a abrangência, a interrupçã o do tratamento e a suspensão do recrutamento de participantes devem estar explicadas com clareza na notificação de suspensão temporária.</x:v>
      </x:c>
      <x:c r="L10" s="21" t="str"/>
      <x:c r="M10" s="21" t="str"/>
      <x:c r="N10" s="21" t="str"/>
      <x:c r="O10" s="21" t="str"/>
      <x:c r="P10" s="21" t="str"/>
      <x:c r="Q10" s="22" t="str"/>
      <x:c r="R10" s="22" t="str"/>
      <x:c r="S10" s="22" t="str"/>
    </x:row>
    <x:row r="11" ht="88.5" customHeight="1">
      <x:c r="A11" s="23" t="n">
        <x:v>10</x:v>
      </x:c>
      <x:c r="B11" s="23" t="str">
        <x:v>UNANS_05</x:v>
      </x:c>
      <x:c r="C11" s="23" t="str">
        <x:v>Unanswerable</x:v>
      </x:c>
      <x:c r="D11" s="23" t="str">
        <x:v>unanswerable_patent</x:v>
      </x:c>
      <x:c r="E11" s="23" t="str">
        <x:v>No</x:v>
      </x:c>
      <x:c r="F11" s="22" t="str">
        <x:v>Quando expira a patente comercial de um produto biológico específico?</x:v>
      </x:c>
      <x:c r="G11" s="22" t="str">
        <x:v>Os documentos recuperados nao fornecem informacao suficiente para responder.</x:v>
      </x:c>
      <x:c r="H11" s="22" t="str">
        <x:v>When does the commercial patent for a specific biological product expire?</x:v>
      </x:c>
      <x:c r="I11" s="22" t="str">
        <x:v>The retrieved documents do not provide enough information to answer.</x:v>
      </x:c>
      <x:c r="J11" s="22" t="str"/>
      <x:c r="K11" s="22" t="str"/>
      <x:c r="L11" s="21" t="str"/>
      <x:c r="M11" s="21" t="str"/>
      <x:c r="N11" s="21" t="str"/>
      <x:c r="O11" s="21" t="str"/>
      <x:c r="P11" s="21" t="str"/>
      <x:c r="Q11" s="22" t="str"/>
      <x:c r="R11" s="22" t="str"/>
      <x:c r="S11" s="22" t="str"/>
    </x:row>
    <x:row r="12" ht="88.5" customHeight="1">
      <x:c r="A12" s="23" t="n">
        <x:v>11</x:v>
      </x:c>
      <x:c r="B12" s="23" t="str">
        <x:v>UNANS_11</x:v>
      </x:c>
      <x:c r="C12" s="23" t="str">
        <x:v>Unanswerable</x:v>
      </x:c>
      <x:c r="D12" s="23" t="str">
        <x:v>unanswerable_fabricated_deadline</x:v>
      </x:c>
      <x:c r="E12" s="23" t="str">
        <x:v>No</x:v>
      </x:c>
      <x:c r="F12" s="22" t="str">
        <x:v>A RDC 751/2022 exige aprovação de dispositivos em exatamente cinco dias?</x:v>
      </x:c>
      <x:c r="G12" s="22" t="str">
        <x:v>Os documentos recuperados nao fornecem informacao suficiente para responder.</x:v>
      </x:c>
      <x:c r="H12" s="22" t="str">
        <x:v>Does RDC 751/2022 require device approval in exactly five days?</x:v>
      </x:c>
      <x:c r="I12" s="22" t="str">
        <x:v>The retrieved documents do not provide enough information to answer.</x:v>
      </x:c>
      <x:c r="J12" s="22" t="str"/>
      <x:c r="K12" s="22" t="str"/>
      <x:c r="L12" s="21" t="str"/>
      <x:c r="M12" s="21" t="str"/>
      <x:c r="N12" s="21" t="str"/>
      <x:c r="O12" s="21" t="str"/>
      <x:c r="P12" s="21" t="str"/>
      <x:c r="Q12" s="22" t="str"/>
      <x:c r="R12" s="22" t="str"/>
      <x:c r="S12" s="22" t="str"/>
    </x:row>
    <x:row r="13" ht="88.5" customHeight="1">
      <x:c r="A13" s="23" t="n">
        <x:v>12</x:v>
      </x:c>
      <x:c r="B13" s="23" t="str">
        <x:v>DIRECT_01</x:v>
      </x:c>
      <x:c r="C13" s="23" t="str">
        <x:v>Direct</x:v>
      </x:c>
      <x:c r="D13" s="23" t="str">
        <x:v>direct_article</x:v>
      </x:c>
      <x:c r="E13" s="23" t="str">
        <x:v>Yes</x:v>
      </x:c>
      <x:c r="F13" s="22" t="str">
        <x:v>Quais medidas a Anvisa pode determinar caso identifique irregularidades durante uma inspeção em Boas Práticas Clínicas (BPC)?</x:v>
      </x:c>
      <x:c r="G13" s="22" t="str">
        <x:v>A Anvisa pode determinar a interrupção temporária do ensaio clínico, o cancelamento definitivo do ensaio no centro específico, o cancelamento definitivo em todos os centros no Brasil, ou a invalidação dos dados provenientes de centros e ensaios em desacordo com as BPC.</x:v>
      </x:c>
      <x:c r="H13" s="22" t="str">
        <x:v>What measures can Anvisa determine if it identifies irregularities during a Good Clinical Practice (GCP) inspection?</x:v>
      </x:c>
      <x:c r="I13" s="22" t="str">
        <x:v>Anvisa may determine the temporary interruption of the clinical trial, the definitive cancellation of the trial at the specific center, the definitive cancellation in all centers in Brazil, or the invalidation of data from centers and trials not in compliance with GCP.</x:v>
      </x:c>
      <x:c r="J13" s="22" t="str">
        <x:v>RDC 9/2015, Art. 71</x:v>
      </x:c>
      <x:c r="K13" s="22" t="str">
        <x:v>Art. 71 . Com o objetivo de garantir a proteção dos direitos, seguranç a e bem -estar dos participantes do ensaio clínico, bem como a precisão e confiabilidade dos dados a serem obtidos ou submetidos para o registro sanitário, a Anvisa poderá realizar inspeções em BPC nos centros de ensaios clínicos, patrocinador, ORPC, labora tórios e em outras instituições envolvidas no desenvolvimento do medicamento experimental para verificar o grau de adesão à legislação brasileira vigente e o cumprimento das BPC, além de assegurar os direitos e deveres que dizem respeito à comunidade cient ífica e ao Estado. §1º As inspeções em BPC seguirão as diretrizes harmonizadas no Documento das Américas, Manual de Boas Práticas Clínicas da Conferência Internacional de Harmon ização (Documento E6) e em normas específic as de inspeção em BPC publicada s pela Anvisa . §2º Dependendo do resultado da inspeção em BPC a Anvisa poderá determinar : I- a interrupção temporária do ensaio clínico; II- o cancelamento definitivo do ensa io clínico no centro em questão; III- o cancelamento definitivo do ensaio clín ico em todos os centros no Brasil ; ou IV- a invalidação dos dados provenientes dos centros e ensaios clínicos que não estão em conformidade com as BPC. Produtos sob Investigação</x:v>
      </x:c>
      <x:c r="L13" s="21" t="str"/>
      <x:c r="M13" s="21" t="str"/>
      <x:c r="N13" s="21" t="str"/>
      <x:c r="O13" s="21" t="str"/>
      <x:c r="P13" s="21" t="str"/>
      <x:c r="Q13" s="22" t="str"/>
      <x:c r="R13" s="22" t="str"/>
      <x:c r="S13" s="22" t="str"/>
    </x:row>
    <x:row r="14" ht="88.5" customHeight="1">
      <x:c r="A14" s="23" t="n">
        <x:v>13</x:v>
      </x:c>
      <x:c r="B14" s="23" t="str">
        <x:v>COMPLEX_03</x:v>
      </x:c>
      <x:c r="C14" s="23" t="str">
        <x:v>Complex</x:v>
      </x:c>
      <x:c r="D14" s="23" t="str">
        <x:v>exception</x:v>
      </x:c>
      <x:c r="E14" s="23" t="str">
        <x:v>Yes</x:v>
      </x:c>
      <x:c r="F14" s="22" t="str">
        <x:v>Como a RDC 751/2022 define 'dispositivo médico' e quais são as três categorias de alteração de informações no processo de registro?</x:v>
      </x:c>
      <x:c r="G14" s="22" t="str">
        <x:v>Dispositivo médico é qualquer instrumento, aparelho, equipamento, implante, software ou material destinado pelo fabricante a ser usado em seres humanos para fins médicos específicos (diagnóstico, prevenção, tratamento, etc.), cuja ação principal não seja farmacológica, imunológica ou metabólica. As categorias de alteração são: alteração de aprovação requerida, alteração de implementação imediata e alteração não reportável.</x:v>
      </x:c>
      <x:c r="H14" s="22" t="str">
        <x:v>How does RDC 751/2022 define 'medical device' and what are the three categories of information changes in the registration process?</x:v>
      </x:c>
      <x:c r="I14" s="22" t="str">
        <x:v>A medical device is any instrument, apparatus, equipment, implant, software, or material intended by the manufacturer to be used on humans for specific medical purposes (diagnosis, prevention, treatment, etc.), whose main action is not pharmacological, immunological, or metabolic. The change categories are: required approval change, immediate implementation change, and non-reportable change.</x:v>
      </x:c>
      <x:c r="J14" s="22" t="str">
        <x:v>RDC 751/2022, Art. 4</x:v>
      </x:c>
      <x:c r="K14" s="22" t="str">
        <x:v>Art. 4º Para fins da presente Resolução serão aplicadas as seguintes definições, as quais podem ter significado distinto em outro contexto. I - acessório (de um dispositivo médico): produto destinado pelo seu fabricante a ser utilizado em conjunto com um ou vários dispositivos médicos específicos, para permitir ou ajudar de forma específica e direta que o(s) dispositivo(s) médico(s) sejam usados de acordo com a finalidade pretendida; II - aglomerado: para efeitos da definição de nanomaterial, um conjunto de partículas fracamente ligadas em que a área de superfície externa resultante é igual à soma das áreas da superfície dos componentes individuais; III - agregado: para efeitos da definição de nanomaterial, uma partícula que compreende partículas fortemente ligadas ou fundidas, em que a área de superfície externa resultante pode ser significativamente menor que a soma das áreas de superfície calculadas dos componentes individuais; IV - alteração: modificação de informações apresentadas à Anvisa no processo de notificação ou registro do dispositivo médico e nas suas respectivas petições secundárias; V - alteração de aprovação requerida: alteração de maior relevância sanitária, que trata de mudança a ser introduzida no processo de registro, sendo autorizada em território nacional somente após análise técnica documental e manifestação favorável da Anvisa; VI - alteração de implementação imediata: alteração de média relevância sanitária, que trata de mudança a ser introduzida no processo de notificação ou registro, sendo sua implementação autorizada em território nacional após a protocolização de petição junto à Anvisa; VII - alteração não reportável: qualquer outra alteração de menor relevância sanitária, decorrente de mudança que não é classificada como de aprovação requerida ou de implementação imediata, e que não depende de protocolo na Anvisa para implementação; VIII - detentor (de notificação ou de registro): pessoa jurídica, pública ou privada, fabricante ou importador, responsável pelo dispositivo médico em território nacional, que detém a concessão de comercialização de dispositivo médico, emitida pela Anvisa; IX - dispositivo cirurgicamente invasivo: dispositivo invasivo que penetra no corpo através da sua superfície, incluindo através das membranas mucosas dos orifícios corporais, no âmbito de uma intervenção cirúrgica; e dispositivo que penetra no corpo por outra via que não um orifício corporal; X - dispositivo médico (produto médico); qualquer instrumento, aparelho, equipamento, implante, dispositivo médico para diagnóstico in vitro, software, material ou outro artigo, destinado pelo fabricante a ser usado, isolado ou conjuntamente, em seres humanos, para algum dos seguintes propósitos médicos específicos, e cuja principal ação pretendida não seja alcançada por meios farmacológicos, imunológicos ou metabólicos no corpo humano, mas que podem ser auxiliados na sua ação pretendida por tais meios: a) diagnóstico, prevenção, monitoramento, tratamento (ou alívio) de uma doença; b) diagnóstico, monitoramento, tratamento ou reparação de uma lesão ou deficiência; c) investigação, substituição, alteração da anatomia ou de um processo ou estado fisiológico ou patológico; d) suporte ou manutenção da vida; e) controle ou apoio à concepção; ou f) fornecimento de informações por meio de exame in vitro de amostras provenientes do corpo humano, incluindo doações de órgãos e tecidos. XI - dispositivo médico ativo: qualquer dispositivo cujo funcionamento depende de uma fonte de energia não gerada pelo corpo humano para esse efeito, ou pela gravidade, e que atua por alteração da densidade ou por conversão dessa energia, excetuando-se aqueles destinados a transmitir energia, substâncias ou outros elementos entre um dispositivo ativo e o paciente sem produzir qualquer alteração significativa; XII - dispositivo médico ativo para diagnóstico e monitoramento: qualquer dispositivo ativo utilizado isoladamente ou em combinação com outros dispositivos para fornecer informações com vista à detecção, diagnóstico, monitoramento, observação ou tratamento de estados fisiológicos, estados de saúde, doenças ou malformações congênitas; XIII - dispositivo médico de uso único: um dispositivo destinado a ser utilizado em uma pessoa durante um único procedimento, segundo especificação do fabricante; XIV - dispositivo médico implantável: qualquer dispositivo, incluindo os que são parcial ou totalmente absorvidos, destinado a ser introduzido totalmente no corpo humano; ou a substituir uma superfície epitelial ou a superfície ocular, mediante intervenção clínica, e que se destine a permanecer neste local após a intervenção, ou ainda aquele destinado a ser introduzido parcialmente no corpo humano mediante intervenção clínica e a permanecer neste local após a intervenção por um período de, pelo menos, 30 dias; XV - dispositivo médico invasivo: qualquer dispositivo que penetre parcial ou totalmente no corpo, seja por um dos seus orifícios ou atravessando a sua superfície; XVI - dispositivo médico para diagnóstico in vitro: reagentes, calibradores, padrões, controles, coletores de amostra, softwares, instrumentos ou outros artigos, usados individualmente ou em combinação, com intenção de uso determinada pelo fabricante para a análise in vitro de amostras derivadas do corpo humano, exclusivamente ou principalmente, para fornecer informações para fins de diagnóstico, auxílio ao diagnóstico, monitoramento, compatibilidade, triagem, predisposição, prognóstico, predição ou determinação do estado fisiológico; XVII - dispositivo médico terapêutico ativo: qualquer dispositivo ativo utilizado isoladamente ou em combinação com outros dispositivos para manter, modificar, substituir ou restabelecer funções ou estruturas biológicas no âmbito de um tratamento ou da atenuação de uma doença, lesão ou deficiência; XVIII - dossiê técnico: documento que descreve os elementos que compõem o produto, indicando as características, a finalidade, o modo de uso, o conteúdo, os cuidados especiais, os potenciais riscos, o processo produtivo e informações adicionais; XIX - fabricante legal: pessoa jurídica, pública ou privada, com responsabilidade pelo projeto, manufatura, embalagem e rotulagem de um produto, com a intenção de disponibilizá-lo para uso sob seu nome, sendo estas operações realizadas pela própria empresa ou por terceiros em seu nome. XX - família: agrupamento de dispositivos médicos, para efeito de notificação ou registro, previsto em regulamento específico, onde cada produto possui características técnicas semelhantes de: a) Indicação, finalidade de uso; b) Funcionamento e ação; c) Tecnologia; d) Conteúdo ou composição, quando aplicável; e e) Precauções, restrições, advertências e cuidados especiais. XXI - finalidade pretendida (finalidade de uso): a utilização a que um dispositivo se destina, de acordo com a informação declarada pelo fabricante na avaliação clínica; XXII - importador: pessoa jurídica, pública ou privada, responsável pela atividade de importação para entrada de dispositivos médicos procedentes do exterior no território nacional; XXIII - instruções de uso: documento contendo informações prestadas pelo fabricante para esclarecer o usuário sobre a finalidade pretendida de um dispositivo, sua correta utilização e eventuais precauções a tomar; XXIV - instrumento cirúrgico reutilizável: um instrumento que se destina a cortar, perfurar, escarificar, serrar, raspar, remover, grampear, afastar, aparar ou a realizar procedimentos semelhantes, no âmbito de intervenções clínicas e cirúrgicas, podendo ou não se conectar a um dispositivo ativo, e destinado pelo fabricante a ser reutilizado depois de terem sido efetuados os procedimentos adequados, como limpeza, desinfecção e esterilização; XXV - investigação clínica: qualquer investigação ou estudo sistemático em um ou mais seres humanos, realizado para avaliar a segurança, desempenho clínico e/ou eficácia de um dispositivo médico. Para os fins deste regulamento, este termo é sinônimo de "ensaio clínico" ou "pesquisa clínica"; XXVI - kit (conjunto, set ou bandeja): conjunto de dispositivos médicos que, independente de serem registrados ou notificados individualmente, são agrupados em uma unidade de venda para uma finalidade de uso ou procedimento específico: a) para efeitos de regularização, o conjunto deve ser de um mesmo fabricante ou grupo fabril; e b) os componentes de um kit de dispositivos médicos, isoladamente, não mantêm relação de interdependência para obtenção da funcionalidade e desempenho a que se destina. XXVII - lote ou partida: quantidade de um dispositivo médico elaborada em um ciclo de fabricação ou esterilização, cuja característica essencial é a homogeneidade; XXVIII - nanomaterial: material natural, incidental ou manufaturado que contém partículas em estado não ligado ou sob a forma de agregado ou aglomerado, em que 50% ou mais do número de partículas apresente distribuição de tamanho dentro do intervalo de 1 a 100 nm, em uma ou mais de suas dimensões externas, podendo incluir: a) fulerenos, flocos de grafeno e nanotubos de carbono de parede simples com uma ou mais dimensões externas inferiores a 1 nm também são considerados nanomateriais. b) materiais manufaturados com dimensões que extrapolem o limite superior da nanoescala (estabelecida entre 1 e 100 nm), até o marco de 1000 nm, e que exibam propriedades ou fenômenos tamanho-dependentes distintos daqueles apresentados pelo mesmo material em macroescala, poderão ser enquadrados na definição de nanomaterial; XXIX - norma técnica: documento estabelecido por consenso e aprovado por um organismo reconhecido, que fornece para uso comum e repetitivo regras, diretrizes ou características para atividades ou seus resultados, visando obter um grau ótimo de ordenação em um dado contexto; XXX - notificação: ato de comunicar à Anvisa a intenção de comercialização de dispositivo médico, destinado a comprovar o direito de fabricação e de importação de dispositivo médico dispensado de registro na forma do §1º do art. 25 da Lei nº 6.360, de 23 de setembro de 1976 , e classificado nas classes de risco I ou II, com a indicação do nome, do fabricante, da finalidade e dos outros elementos que o caracterizem; XXXI - orifício corporal: qualquer abertura natural do corpo, bem como a cavidade ocular, ou qualquer abertura artificial permanente como, por exemplo, um estoma; XXXII - partícula: para efeitos da definição de nanomaterial, uma porção minúscula de matéria com fronteiras físicas definidas; XXXIII - pele ou membrana mucosa lesada: uma superfície de pele ou uma membrana mucosa que apresente uma alteração patológica ou provocada por doença ou lesão; XXXIV - reavaliação processual: procedimento realizado pela área técnica da Anvisa em notificações e registros de dispositivos médicos para fins de auditoria nos processos; XXXV - registro: ato privativo da Anvisa destinado a comprovar o direito de fabricação e de importação de produto submetido ao regime da Lei nº 6.360, de 23 de setembro de 1976 , e classificado nas classes de risco III ou IV, com a indicação do nome, do fabricante, da finalidade e dos outros elementos que o caracterizem; XXXVI - Repositório Documental de Dispositivos Médicos: ferramenta digital para armazenamento e disponibilização de documentos relativos aos dispositivos médicos notificados e registrados, disponível no portal eletrônico da Anvisa; XXXVII - responsável legal: pessoa física designada em estatuto, contrato social ou ata, incumbida de representar, ativa e passivamente, nos atos judiciais e extrajudiciais a pessoa jurídica solicitante (fabricante ou importador); XXXVIII - responsável técnico: profissional de nível superior, legalmente habilitado, capacitado nas tecnologias que compõem o produto, responsável pelas informações técnicas apresentadas pelo solicitante (fabricante ou importador) e pela qualidade, segurança e desempenho do produto comercializado; XXXIX - rótulo: informações escritas, impressas ou gráficas que constam no próprio produto, na embalagem de cada unidade ou na embalagem de vários dispositivos; XL - sistema: conjunto de dispositivos médicos compatíveis, que se relacionam ou interagem entre si, exclusivamente com o objetivo de cumprir uma finalidade pretendida pelo fabricante; XLI - sistema circulatório central: sistema que inclui os seguintes vasos sanguíneos: artérias pulmonares, aorta ascendente, arco da aorta, aorta descendente até a bifurcação aórtica, artérias coronárias, artéria carótida comum, artéria carótida externa, artéria carótida interna, artérias cerebrais, tronco braquicefálico, veias coronárias, veias pulmonares, veia cava superior e veia cava inferior; XLII - sistema nervoso central: sistema que inclui o cérebro, as meninges e a medula espinhal; XLIII - Software como Dispositivo Médico (Software as a Medical Device - SaMD): produto ou aplicação destinados a uma ou mais finalidades indicadas na definição de dispositivo médico e que desempenha suas funções sem ser parte do hardware de um dispositivo médico, com as seguintes características: a) o SaMD pode ser executado em uma plataforma computacional de propósito geral (finalidade não médica); b) a "plataforma computacional" inclui recursos de hardware e software (sistema operacional, hardware de processamento, armazenamento, banco de dados, dispositivos de visualização, dispositivos de entrada, linguagem de programação, etc.); c) "sem fazer parte de" significa que o programa não precisa do hardware de um dispositivo médico para atingir sua finalidade de uso; d) um software não é considerado SaMD se seu objetivo é controlar o hardware de um dispositivo médico; e) um SaMD pode ser usado em combinação (por exemplo, como módulo) com outros produtos, incluindo outros dispositivos médicos; f) um SaMD pode interagir com outros dispositivos médicos, incluindo hardware de outros dispositivos médicos e outro SaMD, bem como software de uso geral; e g) os aplicativos móveis (apps) que atendem à definição são considerados SaMD; XLIV - solicitante: pessoa jurídica, pública ou privada, que encaminha petições para notificação ou registro de dispositivos médicos junto à autoridade sanitária; XLV - unidade fabril: local onde ocorre uma ou mais etapas de fabricação, podendo ser o próprio fabricante legal, fabricante contratado ou fabricante original de produto; XLVI - uso de curto prazo: uso realizado normalmente de forma contínua durante um período compreendido entre 60 (sessenta) minutos e 30 (trinta) dias; XLVII - uso de longo prazo: uso realizado normalmente de forma contínua durante um período superior a 30 (trinta) dias; XLVIII - uso transitório: uso realizado normalmente de forma contínua durante menos de 60 (sessenta) minutos; e XLIX - usuário: profissional de saúde ou leigo, podendo ser o próprio paciente, que utiliza um dispositivo médico, conforme as instruções de uso.</x:v>
      </x:c>
      <x:c r="L14" s="21" t="str"/>
      <x:c r="M14" s="21" t="str"/>
      <x:c r="N14" s="21" t="str"/>
      <x:c r="O14" s="21" t="str"/>
      <x:c r="P14" s="21" t="str"/>
      <x:c r="Q14" s="22" t="str"/>
      <x:c r="R14" s="22" t="str"/>
      <x:c r="S14" s="22" t="str"/>
    </x:row>
    <x:row r="15" ht="88.5" customHeight="1">
      <x:c r="A15" s="23" t="n">
        <x:v>14</x:v>
      </x:c>
      <x:c r="B15" s="23" t="str">
        <x:v>DIRECT_31</x:v>
      </x:c>
      <x:c r="C15" s="23" t="str">
        <x:v>Direct</x:v>
      </x:c>
      <x:c r="D15" s="23" t="str">
        <x:v>direct_article</x:v>
      </x:c>
      <x:c r="E15" s="23" t="str">
        <x:v>Yes</x:v>
      </x:c>
      <x:c r="F15" s="22" t="str">
        <x:v>Qual é o prazo para o carregamento de instruções de uso no caso de alterações não reportáveis de produtos previamente notificados ou registrados?</x:v>
      </x:c>
      <x:c r="G15" s="22" t="str">
        <x:v>O carregamento deve ser realizado em até 180 (cento e oitenta) dias após a implementação da alteração que implique mudança nas instruções de uso.</x:v>
      </x:c>
      <x:c r="H15" s="22" t="str">
        <x:v>What is the deadline for uploading instructions for use in the case of non-reportable changes to previously notified or registered products?</x:v>
      </x:c>
      <x:c r="I15" s="22" t="str">
        <x:v>The upload must be performed within 180 (one hundred and eighty) days after the implementation of the change that implies a modification in the instructions for use.</x:v>
      </x:c>
      <x:c r="J15" s="22" t="str">
        <x:v>RDC 751/2022, Art. 33</x:v>
      </x:c>
      <x:c r="K15" s="22" t="str">
        <x:v>Art. 33. O carregamento de instruções de uso no Repositório Documental de Dispositivos Médicos corresponde à inserção e à atualização destes documentos vinculados aos processos de notificação ou registro de dispositivos médicos. § 1º No caso de dispositivo médico que não possui instruções de uso (como documento específico), deve-se carregar o modelo de rotulagem no campo das instruções de uso, contemplando também as informações previstas no § 2º O carregamento de instruções de uso deverá ocorrer por meio dos assuntos de peticionamento aplicáveis, identificados como "Disponibilização de Instruções de Uso no Portal da Anvisa". § 3º O carregamento de instruções de uso é de responsabilidade do detentor da notificação ou do registro e deverá ser controlado por este para eventuais auditorias. § 4º O carregamento de instruções de uso é obrigatório e deve ser executado pela empresa responsável pela notificação ou pelo registro do produto, a qual atesta que seu conteúdo guarda concordância com a legislação vigente e consistência com o produto regularizado. § 5º Para os novos produtos notificados ou registrados e para as alterações daqueles produtos previamente notificados ou registrados, o peticionamento e o respectivo carregamento de instruções de uso deverá ser realizado em até 30 (trinta) dias após a publicação em Diário Oficial da União. § 6º Para as alterações não reportáveis daqueles produtos previamente notificados ou registrados, o peticionamento e o respectivo carregamento de instruções de uso deverá ser realizado em até 180 (cento e oitenta) dias após a implementação da alteração que implique mudança nas instruções de uso.</x:v>
      </x:c>
      <x:c r="L15" s="21" t="str"/>
      <x:c r="M15" s="21" t="str"/>
      <x:c r="N15" s="21" t="str"/>
      <x:c r="O15" s="21" t="str"/>
      <x:c r="P15" s="21" t="str"/>
      <x:c r="Q15" s="22" t="str"/>
      <x:c r="R15" s="22" t="str"/>
      <x:c r="S15" s="22" t="str"/>
    </x:row>
    <x:row r="16" ht="88.5" customHeight="1">
      <x:c r="A16" s="23" t="n">
        <x:v>15</x:v>
      </x:c>
      <x:c r="B16" s="23" t="str">
        <x:v>DIRECT_42</x:v>
      </x:c>
      <x:c r="C16" s="23" t="str">
        <x:v>Direct</x:v>
      </x:c>
      <x:c r="D16" s="23" t="str">
        <x:v>direct_article</x:v>
      </x:c>
      <x:c r="E16" s="23" t="str">
        <x:v>Yes</x:v>
      </x:c>
      <x:c r="F16" s="22" t="str">
        <x:v>Como o Detentor de Registro de Medicamento deve proceder caso não consiga atender a uma solicitação de informação da autoridade sanitária dentro do prazo?</x:v>
      </x:c>
      <x:c r="G16" s="22" t="str">
        <x:v>Deve apresentar um pedido de dilação de prazo acompanhado de justificativa, ou encaminhar dados parciais com justificativa e um plano para a entrega da totalidade da informação.</x:v>
      </x:c>
      <x:c r="H16" s="22" t="str">
        <x:v>How should a Marketing Authorization Holder proceed if they cannot meet a request for information from the health authority within the deadline?</x:v>
      </x:c>
      <x:c r="I16" s="22" t="str">
        <x:v>They must submit a request for an extension of the deadline accompanied by a justification, or submit partial data with a justification and a plan for the delivery of the complete requested information.</x:v>
      </x:c>
      <x:c r="J16" s="22" t="str">
        <x:v>RDC 406/2020, Art. 4</x:v>
      </x:c>
      <x:c r="K16" s="22" t="str">
        <x:v>Art. 4º O Detentor de Registro de Medicamento deve apresentar toda e qualquer informação solicitada, para fins de Farmacovigilância, dentro do prazo estabelecido pela autoridade sanitária. § 1º É recomendável que o Detentor de Registro de Medicamento apresente as informações de que trata o caput deste artigo no menor tempo possível. § 2º Caso o Detentor de Registro de Medicamento não possa apresentar a informação de que trata o caput deste artigo dentro do prazo estipulado pela autoridade sanitária, pedido de dilação de prazo deverá ser apresentado, acompanhado de justificativa. § 3º Dados parciais poderão ser encaminhados, dentro do prazo estabelecido pela autoridade sanitária, mediante justificativa e plano para a entrega da totalidade da informação demandada.</x:v>
      </x:c>
      <x:c r="L16" s="21" t="str"/>
      <x:c r="M16" s="21" t="str"/>
      <x:c r="N16" s="21" t="str"/>
      <x:c r="O16" s="21" t="str"/>
      <x:c r="P16" s="21" t="str"/>
      <x:c r="Q16" s="22" t="str"/>
      <x:c r="R16" s="22" t="str"/>
      <x:c r="S16" s="22" t="str"/>
    </x:row>
    <x:row r="17" ht="88.5" customHeight="1">
      <x:c r="A17" s="23" t="n">
        <x:v>16</x:v>
      </x:c>
      <x:c r="B17" s="23" t="str">
        <x:v>UNANS_07</x:v>
      </x:c>
      <x:c r="C17" s="23" t="str">
        <x:v>Unanswerable</x:v>
      </x:c>
      <x:c r="D17" s="23" t="str">
        <x:v>unanswerable_company_status</x:v>
      </x:c>
      <x:c r="E17" s="23" t="str">
        <x:v>No</x:v>
      </x:c>
      <x:c r="F17" s="22" t="str">
        <x:v>Qual é a situação atual do pedido regulatório da empresa X?</x:v>
      </x:c>
      <x:c r="G17" s="22" t="str">
        <x:v>Os documentos recuperados nao fornecem informacao suficiente para responder.</x:v>
      </x:c>
      <x:c r="H17" s="22" t="str">
        <x:v>What is the current status of company X's regulatory submission?</x:v>
      </x:c>
      <x:c r="I17" s="22" t="str">
        <x:v>The retrieved documents do not provide enough information to answer.</x:v>
      </x:c>
      <x:c r="J17" s="22" t="str"/>
      <x:c r="K17" s="22" t="str"/>
      <x:c r="L17" s="21" t="str"/>
      <x:c r="M17" s="21" t="str"/>
      <x:c r="N17" s="21" t="str"/>
      <x:c r="O17" s="21" t="str"/>
      <x:c r="P17" s="21" t="str"/>
      <x:c r="Q17" s="22" t="str"/>
      <x:c r="R17" s="22" t="str"/>
      <x:c r="S17" s="22" t="str"/>
    </x:row>
    <x:row r="18" ht="88.5" customHeight="1">
      <x:c r="A18" s="23" t="n">
        <x:v>17</x:v>
      </x:c>
      <x:c r="B18" s="23" t="str">
        <x:v>DIRECT_08</x:v>
      </x:c>
      <x:c r="C18" s="23" t="str">
        <x:v>Direct</x:v>
      </x:c>
      <x:c r="D18" s="23" t="str">
        <x:v>direct_article</x:v>
      </x:c>
      <x:c r="E18" s="23" t="str">
        <x:v>Yes</x:v>
      </x:c>
      <x:c r="F18" s="22" t="str">
        <x:v>A transferência de funções do patrocinador para uma ORPC exime o patrocinador da responsabilidade pela integridade dos dados?</x:v>
      </x:c>
      <x:c r="G18" s="22" t="str">
        <x:v>Não, a transferência não afasta a responsabilidade definitiva do patrocinador pela qualidade e integridade dos dados do ensaio clínico.</x:v>
      </x:c>
      <x:c r="H18" s="22" t="str">
        <x:v>Does the transfer of functions from the sponsor to a CRO exempt the sponsor from responsibility for data integrity?</x:v>
      </x:c>
      <x:c r="I18" s="22" t="str">
        <x:v>No, the transfer does not remove the sponsor's ultimate responsibility for the quality and integrity of the clinical trial data.</x:v>
      </x:c>
      <x:c r="J18" s="22" t="str">
        <x:v>RDC 9/2015, Art. 20</x:v>
      </x:c>
      <x:c r="K18" s="22" t="str">
        <x:v>Art. 20. O patrocinador pode transferir suas funções para uma ORPC . §1º A transferência de que trata o caput não afasta a responsabilidade definitiva do patroci nador pela qualidade e i ntegridade dos dados do ensaio clínico . §2° Quaisquer funçõ es relacionadas ao ensaio clínico que sejam transferidas a uma ORPC e assumidas por esta devem ser especificadas por escrito em documento assinado pelo patrocinador e ORPC.</x:v>
      </x:c>
      <x:c r="L18" s="21" t="str"/>
      <x:c r="M18" s="21" t="str"/>
      <x:c r="N18" s="21" t="str"/>
      <x:c r="O18" s="21" t="str"/>
      <x:c r="P18" s="21" t="str"/>
      <x:c r="Q18" s="22" t="str"/>
      <x:c r="R18" s="22" t="str"/>
      <x:c r="S18" s="22" t="str"/>
    </x:row>
    <x:row r="19" ht="88.5" customHeight="1">
      <x:c r="A19" s="23" t="n">
        <x:v>18</x:v>
      </x:c>
      <x:c r="B19" s="23" t="str">
        <x:v>DIRECT_14</x:v>
      </x:c>
      <x:c r="C19" s="23" t="str">
        <x:v>Direct</x:v>
      </x:c>
      <x:c r="D19" s="23" t="str">
        <x:v>direct_article</x:v>
      </x:c>
      <x:c r="E19" s="23" t="str">
        <x:v>Yes</x:v>
      </x:c>
      <x:c r="F19" s="22" t="str">
        <x:v>Quais testes sorológicos são obrigatoriamente exigidos para o controle de hemoderivados no registro?</x:v>
      </x:c>
      <x:c r="G19" s="22" t="str">
        <x:v>É obrigatória a realização de testes para: vírus da imunodeficiência humana (HIV 1 e HIV 2), vírus da hepatite C (HCV), vírus da hepatite B (HBV), antígenos de hepatite B (HBsAg) e sífilis.</x:v>
      </x:c>
      <x:c r="H19" s="22" t="str">
        <x:v>Which serological tests are mandatory for the control of blood derivatives during registration?</x:v>
      </x:c>
      <x:c r="I19" s="22" t="str">
        <x:v>It is mandatory to perform tests for: human immunodeficiency virus (HIV 1 and HIV 2), hepatitis C virus (HCV), hepatitis B virus (HBV), hepatitis B antigens (HBsAg), and syphilis.</x:v>
      </x:c>
      <x:c r="J19" s="22" t="str">
        <x:v>RDC 55/2010, Art. 32</x:v>
      </x:c>
      <x:c r="K19" s="22" t="str">
        <x:v>Art. 32. Especificamente para os hemoderivados, além da documentação descrita nas Seções I e II deste Capítulo, no ato do protocolo de pedido de registro, a empresa solicitante deverá apresentar as seguintes informações: I - declaração da origem do plasma, emitida pela autoridade sanitária competente do país de fabricação do hemoderivado; II - declaração da origem das pastas utilizadas na produção do hemoderivado; III - declaração da origem do plasma utilizado para a produção das pastas, emitida pela autoridade sanitária competente do país de fabricação das pastas; IV - lista dos centros de coleta de plasma autorizados pela autoridade sanitária competente do país de fabricação do hemoderivado; V - lista dos testes sorológicos realizados: a) em cada unidade de plasma ou de plasmaférese; b) em cada mini-pool de plasma, indicando a quantidade de unidades de plasma ou de plasmaférese que constitui o mini-pool; e c) no lote de fracionamento (pool), indicando o volume médio do lote de fracionamento; VI - controles sorológicos da bolsa de sangue ou plasma no banco de sangue, no pool de fracionamento e no produto terminado, sendo obrigatória a realização de testes para: a) vírus da imunodeficiência humana - HIV 1 e HIV 2; b) vírus da hepatite C - HCV; c) vírus da hepatite B - HBV; d) antígenos de hepatite B - HBsAg; e e) sífilis; VII - descrição dos testes para agentes infecciosos epidemiologicamente importantes no país de origem do plasma, relacionados com as doenças transmissíveis pelo sangue e seus derivados; VIII - descrição dos testes da reação em cadeia da polimerase (teste de amplificação do ácido nucléico) - PCR (NAT), realizados em cada unidade de plasma ou unidade de plasmaférese, em cada mini-pool de plasma, e no lote de fracionamento; IX - validação dos métodos sorológicos e de PCR (NAT) utilizados; X - relatório com a descrição dos procedimentos de remoção, redução ou eliminação e inativação virais utilizados e suas respectivas validações.</x:v>
      </x:c>
      <x:c r="L19" s="21" t="str"/>
      <x:c r="M19" s="21" t="str"/>
      <x:c r="N19" s="21" t="str"/>
      <x:c r="O19" s="21" t="str"/>
      <x:c r="P19" s="21" t="str"/>
      <x:c r="Q19" s="22" t="str"/>
      <x:c r="R19" s="22" t="str"/>
      <x:c r="S19" s="22" t="str"/>
    </x:row>
    <x:row r="20" ht="88.5" customHeight="1">
      <x:c r="A20" s="23" t="n">
        <x:v>19</x:v>
      </x:c>
      <x:c r="B20" s="23" t="str">
        <x:v>DIRECT_68</x:v>
      </x:c>
      <x:c r="C20" s="23" t="str">
        <x:v>Direct</x:v>
      </x:c>
      <x:c r="D20" s="23" t="str">
        <x:v>direct_article</x:v>
      </x:c>
      <x:c r="E20" s="23" t="str">
        <x:v>Yes</x:v>
      </x:c>
      <x:c r="F20" s="22" t="str">
        <x:v>Quais medidas a Anvisa pode determinar caso uma inspeção de BPC identifique não conformidades em um ensaio clínico?</x:v>
      </x:c>
      <x:c r="G20" s="22" t="str">
        <x:v>A Anvisa pode determinar: a suspensão temporária do ensaio clínico; o cancelamento definitivo do ensaio clínico no centro em questão ou em todos os centros no Brasil; a invalidação dos dados provenientes dos centros, patrocinadores, ORPCs e ensaios clínicos não conformes; a suspensão temporária das atividades do centro, patrocinador ou ORPC; ou o cancelamento definitivo de ensaios clínicos conduzidos por patrocinador/ORPC.</x:v>
      </x:c>
      <x:c r="H20" s="22" t="str">
        <x:v>What measures can Anvisa determine if a GCP inspection identifies non-compliance in a clinical trial?</x:v>
      </x:c>
      <x:c r="I20" s="22" t="str">
        <x:v>Anvisa may determine: temporary suspension of the clinical trial; definitive cancellation of the clinical trial at the specific center or at all centers in Brazil; invalidation of data from centers, sponsors, CROs, and clinical trials not in compliance with GCP; temporary suspension of the activities of the center, sponsor, or CRO; or definitive cancellation of clinical trials conducted by the sponsor/CRO.</x:v>
      </x:c>
      <x:c r="J20" s="22" t="str">
        <x:v>RDC 945/2024, Art. 78</x:v>
      </x:c>
      <x:c r="K20" s="22" t="str">
        <x:v>Art. 78. Dependendo do resultado da inspeção de BPC, a Anvisa poderá determinar: I - a suspensão temporária do ensaio clínico; II - o cancelamento definitivo do ensaio clínico no centro em questão; III - o cancelamento definitivo do ensaio clínico em todos os centros no Brasil; IV - a invalidação dos dados provenientes dos centros, patrocinadores, ORPCs e ensaios clínicos que não estão em conformidade com as BPC; V - a suspensão temporária das atividades do centro, patrocinador ou ORPC relacionadas a ensaios clínicos; VI - o cancelamento definitivo do(s) ensaio(s) clínico(s) conduzidos por patrocinador/ORPC. § 1º Para fins do descrito no caput, o patrocinador será notificado e a Anvisa poderá abrir processo administrativo ou de investigação, de acordo com a legislação vigente.</x:v>
      </x:c>
      <x:c r="L20" s="21" t="str"/>
      <x:c r="M20" s="21" t="str"/>
      <x:c r="N20" s="21" t="str"/>
      <x:c r="O20" s="21" t="str"/>
      <x:c r="P20" s="21" t="str"/>
      <x:c r="Q20" s="22" t="str"/>
      <x:c r="R20" s="22" t="str"/>
      <x:c r="S20" s="22" t="str"/>
    </x:row>
    <x:row r="21" ht="88.5" customHeight="1">
      <x:c r="A21" s="23" t="n">
        <x:v>20</x:v>
      </x:c>
      <x:c r="B21" s="23" t="str">
        <x:v>DIRECT_29</x:v>
      </x:c>
      <x:c r="C21" s="23" t="str">
        <x:v>Direct</x:v>
      </x:c>
      <x:c r="D21" s="23" t="str">
        <x:v>direct_article</x:v>
      </x:c>
      <x:c r="E21" s="23" t="str">
        <x:v>Yes</x:v>
      </x:c>
      <x:c r="F21" s="22" t="str">
        <x:v>Como deve ser classificado um dispositivo médico que não se destina a ser utilizado exclusiva ou principalmente em uma parte específica do corpo?</x:v>
      </x:c>
      <x:c r="G21" s="22" t="str">
        <x:v>O dispositivo deve ser considerado e classificado com base na utilização mais crítica.</x:v>
      </x:c>
      <x:c r="H21" s="22" t="str">
        <x:v>How should a medical device that is not intended to be used exclusively or primarily on a specific part of the body be classified?</x:v>
      </x:c>
      <x:c r="I21" s="22" t="str">
        <x:v>The device must be considered and classified based on the most critical use.</x:v>
      </x:c>
      <x:c r="J21" s="22" t="str">
        <x:v>RDC 751/2022, Art. 8</x:v>
      </x:c>
      <x:c r="K21" s="22" t="str">
        <x:v>Art. 8º A aplicação das regras de classificação rege-se pela finalidade pretendida dos dispositivos médicos, com exceção dos dispositivos para diagnóstico in vitro, que são regidos por regras de classificação específicas. § 1º Se o dispositivo em questão se destinar a ser utilizado em combinação com outro dispositivo, as regras de classificação são aplicáveis separadamente a cada um deles. § 2º Os acessórios de um dispositivo devem ser classificados por si mesmos, separadamente do dispositivo com o qual são utilizados. § 3º O software que comanda um dispositivo ou influencia o seu uso é classificado na mesma classe desse dispositivo. § 4º Se o software (SaMD) for independente de qualquer outro dispositivo, deve ser classificado independentemente. § 5º Se o dispositivo não se destinar a ser utilizado exclusiva ou principalmente em uma determinada parte do corpo, deve ser considerado e classificado com base na utilização mais crítica. § 6º Caso a um mesmo dispositivo sejam aplicáveis várias regras ou, dentro da mesma regra, várias sub-regras, baseadas na sua finalidade pretendida, aplicam-se a regra e a sub-regra mais rigorosas que conduzem à classificação superior. § 7º No cálculo da duração de uso "de forma contínua" deve-se considerar: a) toda a duração de uso do mesmo dispositivo sem levar em conta as interrupções temporárias de uso durante um procedimento ou a remoção temporária para fins de limpeza ou desinfecção do dispositivo, devendo-se determinar se a interrupção de uso, ou a remoção, é temporária em função da duração do uso anterior e posterior ao período em que o uso é interrompido ou que o dispositivo é removido; e b) a utilização acumulada de um dispositivo destinado pelo fabricante a ser substituído imediatamente por outro do mesmo tipo. § 8º Considera-se que um dispositivo permite um diagnóstico direto quando proporciona, por si próprio, o diagnóstico da doença ou da condição em questão, ou quando fornece informações decisivas para o diagnóstico.</x:v>
      </x:c>
      <x:c r="L21" s="21" t="str"/>
      <x:c r="M21" s="21" t="str"/>
      <x:c r="N21" s="21" t="str"/>
      <x:c r="O21" s="21" t="str"/>
      <x:c r="P21" s="21" t="str"/>
      <x:c r="Q21" s="22" t="str"/>
      <x:c r="R21" s="22" t="str"/>
      <x:c r="S21" s="22" t="str"/>
    </x:row>
  </x:sheetData>
  <x:conditionalFormatting sqref="P2:P21">
    <x:cfRule type="containsText" dxfId="0" priority="1" operator="containsText" text="Keep"/>
    <x:cfRule type="containsText" dxfId="1" priority="2" operator="containsText" text="Revise"/>
    <x:cfRule type="containsText" dxfId="2" priority="3" operator="containsText" text="Drop"/>
  </x:conditionalFormatting>
  <x:dataValidations count="3">
    <x:dataValidation type="list" sqref="L2:O21">
      <x:formula1>"0,1"</x:formula1>
    </x:dataValidation>
    <x:dataValidation type="list" sqref="P2:P21">
      <x:formula1>"Keep,Revise,Drop"</x:formula1>
    </x:dataValidation>
    <x:dataValidation type="list" sqref="R2:R21">
      <x:formula1>"Keep,Revise,Drop"</x:formula1>
    </x:dataValidation>
  </x:dataValidations>
  <x:pageMargins left="0.7" right="0.7" top="0.75" bottom="0.75" header="0.3" footer="0.3"/>
  <x:tableParts count="1">
    <x:tablePart xmlns:r="http://schemas.openxmlformats.org/officeDocument/2006/relationships" r:id="R6b312be6077a45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1.670000076293945" hidden="0" customWidth="1"/>
    <x:col min="3" max="3" width="10" hidden="0" customWidth="1"/>
    <x:col min="4" max="4" width="15" hidden="0" customWidth="1"/>
    <x:col min="5" max="5" width="9.4399995803833" hidden="0" customWidth="1"/>
    <x:col min="6" max="6" width="28.889999389648438" hidden="0" customWidth="1"/>
    <x:col min="7" max="7" width="33.33000183105469" hidden="0" customWidth="1"/>
    <x:col min="8" max="8" width="28.889999389648438" hidden="0" customWidth="1"/>
    <x:col min="9" max="9" width="33.33000183105469" hidden="0" customWidth="1"/>
    <x:col min="10" max="10" width="18.889999389648438" hidden="0" customWidth="1"/>
    <x:col min="11" max="11" width="46.66999816894531" hidden="0" customWidth="1"/>
    <x:col min="12" max="12" width="9.4399995803833" hidden="0" customWidth="1"/>
    <x:col min="13" max="13" width="10.5600004196167" hidden="0" customWidth="1"/>
    <x:col min="14" max="14" width="10" hidden="0" customWidth="1"/>
    <x:col min="15" max="15" width="12.220000267028809" hidden="0" customWidth="1"/>
    <x:col min="16" max="16" width="9.4399995803833" hidden="0" customWidth="1"/>
    <x:col min="17" max="17" width="24.440000534057617" hidden="0" customWidth="1"/>
    <x:col min="18" max="18" width="10.5600004196167" hidden="0" customWidth="1"/>
    <x:col min="19" max="19" width="26.670000076293945" hidden="0" customWidth="1"/>
  </x:cols>
  <x:sheetData>
    <x:row r="1" ht="31.5" customHeight="1">
      <x:c r="A1" s="24" t="str">
        <x:v>Order</x:v>
      </x:c>
      <x:c r="B1" s="24" t="str">
        <x:v>Pair ID</x:v>
      </x:c>
      <x:c r="C1" s="24" t="str">
        <x:v>Stratum</x:v>
      </x:c>
      <x:c r="D1" s="24" t="str">
        <x:v>Category</x:v>
      </x:c>
      <x:c r="E1" s="24" t="str">
        <x:v>Answerable</x:v>
      </x:c>
      <x:c r="F1" s="24" t="str">
        <x:v>Question PT</x:v>
      </x:c>
      <x:c r="G1" s="24" t="str">
        <x:v>Expected Answer PT</x:v>
      </x:c>
      <x:c r="H1" s="24" t="str">
        <x:v>Question EN</x:v>
      </x:c>
      <x:c r="I1" s="24" t="str">
        <x:v>Expected Answer EN</x:v>
      </x:c>
      <x:c r="J1" s="24" t="str">
        <x:v>Gold Citations</x:v>
      </x:c>
      <x:c r="K1" s="24" t="str">
        <x:v>Gold Evidence</x:v>
      </x:c>
      <x:c r="L1" s="24" t="str">
        <x:v>Question Clear</x:v>
      </x:c>
      <x:c r="M1" s="24" t="str">
        <x:v>Answer Supported</x:v>
      </x:c>
      <x:c r="N1" s="24" t="str">
        <x:v>Citations Exact</x:v>
      </x:c>
      <x:c r="O1" s="24" t="str">
        <x:v>Bilingual Equivalent</x:v>
      </x:c>
      <x:c r="P1" s="24" t="str">
        <x:v>Decision</x:v>
      </x:c>
      <x:c r="Q1" s="24" t="str">
        <x:v>Comments</x:v>
      </x:c>
      <x:c r="R1" s="24" t="str">
        <x:v>Final Decision</x:v>
      </x:c>
      <x:c r="S1" s="24" t="str">
        <x:v>Adjudication Rationale</x:v>
      </x:c>
    </x:row>
    <x:row r="2" ht="88.5" customHeight="1">
      <x:c r="A2" s="23" t="n">
        <x:v>1</x:v>
      </x:c>
      <x:c r="B2" s="23" t="str">
        <x:v>COMPLEX_08</x:v>
      </x:c>
      <x:c r="C2" s="23" t="str">
        <x:v>Complex</x:v>
      </x:c>
      <x:c r="D2" s="23" t="str">
        <x:v>multi_article</x:v>
      </x:c>
      <x:c r="E2" s="23" t="str">
        <x:v>Yes</x:v>
      </x:c>
      <x:c r="F2" s="22" t="str">
        <x:v>Quais documentos e planos devem ser apresentados pela empresa solicitante no ato do protocolo de pedido de registro de um produto biológico?</x:v>
      </x:c>
      <x:c r="G2" s="22" t="str">
        <x:v>A empresa deve apresentar um processo único contendo: plano de farmacovigilância, plano de minimização de risco, formulários FP1 e FP2, comprovante de pagamento da taxa, declaração de porte, Licença de Funcionamento/Alvará, Certificado de Autorização de Funcionamento, Certificado de Responsabilidade Técnica, justificativa técnica, CBPF (Anvisa e país de origem), histórico de registro, comprovante de registro no país de origem, bula (modelo e tradução), embalagens, dados de farmacovigilância, código de barras (GTIN), compêndio de especificações, informações de EET, relatório técnico, relatório de experimentação terapêutica e relatório de farmacovigilância.</x:v>
      </x:c>
      <x:c r="H2" s="22" t="str">
        <x:v>What documents and plans must be submitted by the applicant company at the time of the registration request protocol for a biological product?</x:v>
      </x:c>
      <x:c r="I2" s="22" t="str">
        <x:v>The company must submit a single process containing: pharmacovigilance plan, risk minimization plan, FP1 and FP2 forms, proof of fee payment, company size declaration, Operating License/Sanitary Permit, Certificate of Authorization, Technical Responsibility Certificate, technical justification, CBPF (Anvisa and country of origin), registration history, proof of registration in the country of origin, package insert (model and translation), packaging, pharmacovigilance data, barcode (GTIN), specification compendium, TSE information, technical report, therapeutic experimentation report, and pharmacovigilance report.</x:v>
      </x:c>
      <x:c r="J2" s="22" t="str">
        <x:v>RDC 55/2010, Art. 29; RDC 55/2010, Art. 30</x:v>
      </x:c>
      <x:c r="K2" s="22" t="str">
        <x:v>Art. 29. Independentemente da via de desenvolvimento utilizada, no ato do protocolo do pedido de registro de um produto biológico novo ou produto biológico, a empresa solicitante deverá apresentar um plano de farmacovigilância e um plano de minimização de risco de acordo com a legislação sanitária vigente. DE PRODUTOS BIOLÓGICOS e Produtos Biológicos
Art. 30. No ato do protocolo de pedido de registro de um produto biológico novo ou produto biológico, a empresa solicitante deverá protocolar um processo único, apresentando os seguintes documentos: I - formulários de petição de registro - FP1 e FP2, devidamente preenchidos; II - via original do comprovante de pagamento da taxa de fiscalização de vigilância sanitária, devidamente autenticada e/ou carimbada pelo banco, ou comprovante de isenção quando for o caso; III - declaração do enquadramento do porte (capacidade econômica) da empresa; IV - cópia da Licença de Funcionamento da Empresa e/ou do Alvará Sanitário; V - cópia do Certificado de Autorização de Funcionamento da Empresa ou de sua publicação em Diário Oficial da União (DOU); VI - cópia do Certificado de Responsabilidade Técnica atualizado, emitido pelo Conselho Regional de Farmácia, comprovando que a empresa solicitante e/ou fabricante tem assistência do farmacêutico responsável habilitado para aquele fim; VII - justificativa técnica para o registro do produto; VIII - cópia do Certificado de Boas Práticas de Fabricação (CBPF) expedido pela Anvisa para todos os fabricantes do princípio ativo, do produto biológico a granel, do produto biológico em sua embalagem primária, do produto biológico terminado, do diluente e do adjuvante; IX - cópia do CBPF, emitido pela autoridade sanitária competente do país onde se localiza o fabricante do princípio ativo, do produto biológico a granel, do produto biológico em sua embalagem primária, do produto biológico terminado, do diluente e do adjuvante; X - histórico da situação de registro do produto biológico em outros países, quando for o caso; XI - cópia do comprovante de registro no país de origem do produto biológico, emitido pela respectiva Autoridade Sanitária competente; XII - cópia do modelo de bula aprovada pela autoridade sanitária competente do país de origem, acompanhada de tradução juramentada; XIII - modelos de bula e embalagens primária e secundária, de acordo com a legislação vigente; XIV - dados de farmacovigilância atualizados, de acordo com a legislação sanitária vigente, obtidos de estudos clínicos e da comercialização do produto, quando aplicável; XV - código de barras (GTIN), para toda(s) a(s) apresentação(ões) ou mecanismos de identificação e segurança que possibilitem o rastreamento do produto de acordo com a legislação sanitária vigente; XVI - cópia do compêndio nacional, internacional ou interno da empresa com a determinação das especificações do produto biológico terminado; XVII - informações adicionais de acordo com a legislação vigente sobre o controle de EET, quando aplicável; XVIII - relatório técnico; XIX - relatório de experimentação terapêutica; e XX - relatório de farmacovigilância. Biológico</x:v>
      </x:c>
      <x:c r="L2" s="21" t="str"/>
      <x:c r="M2" s="21" t="str"/>
      <x:c r="N2" s="21" t="str"/>
      <x:c r="O2" s="21" t="str"/>
      <x:c r="P2" s="21" t="str"/>
      <x:c r="Q2" s="22" t="str"/>
      <x:c r="R2" s="22" t="str"/>
      <x:c r="S2" s="22" t="str"/>
    </x:row>
    <x:row r="3" ht="88.5" customHeight="1">
      <x:c r="A3" s="23" t="n">
        <x:v>2</x:v>
      </x:c>
      <x:c r="B3" s="23" t="str">
        <x:v>DIRECT_14</x:v>
      </x:c>
      <x:c r="C3" s="23" t="str">
        <x:v>Direct</x:v>
      </x:c>
      <x:c r="D3" s="23" t="str">
        <x:v>direct_article</x:v>
      </x:c>
      <x:c r="E3" s="23" t="str">
        <x:v>Yes</x:v>
      </x:c>
      <x:c r="F3" s="22" t="str">
        <x:v>Quais testes sorológicos são obrigatoriamente exigidos para o controle de hemoderivados no registro?</x:v>
      </x:c>
      <x:c r="G3" s="22" t="str">
        <x:v>É obrigatória a realização de testes para: vírus da imunodeficiência humana (HIV 1 e HIV 2), vírus da hepatite C (HCV), vírus da hepatite B (HBV), antígenos de hepatite B (HBsAg) e sífilis.</x:v>
      </x:c>
      <x:c r="H3" s="22" t="str">
        <x:v>Which serological tests are mandatory for the control of blood derivatives during registration?</x:v>
      </x:c>
      <x:c r="I3" s="22" t="str">
        <x:v>It is mandatory to perform tests for: human immunodeficiency virus (HIV 1 and HIV 2), hepatitis C virus (HCV), hepatitis B virus (HBV), hepatitis B antigens (HBsAg), and syphilis.</x:v>
      </x:c>
      <x:c r="J3" s="22" t="str">
        <x:v>RDC 55/2010, Art. 32</x:v>
      </x:c>
      <x:c r="K3" s="22" t="str">
        <x:v>Art. 32. Especificamente para os hemoderivados, além da documentação descrita nas Seções I e II deste Capítulo, no ato do protocolo de pedido de registro, a empresa solicitante deverá apresentar as seguintes informações: I - declaração da origem do plasma, emitida pela autoridade sanitária competente do país de fabricação do hemoderivado; II - declaração da origem das pastas utilizadas na produção do hemoderivado; III - declaração da origem do plasma utilizado para a produção das pastas, emitida pela autoridade sanitária competente do país de fabricação das pastas; IV - lista dos centros de coleta de plasma autorizados pela autoridade sanitária competente do país de fabricação do hemoderivado; V - lista dos testes sorológicos realizados: a) em cada unidade de plasma ou de plasmaférese; b) em cada mini-pool de plasma, indicando a quantidade de unidades de plasma ou de plasmaférese que constitui o mini-pool; e c) no lote de fracionamento (pool), indicando o volume médio do lote de fracionamento; VI - controles sorológicos da bolsa de sangue ou plasma no banco de sangue, no pool de fracionamento e no produto terminado, sendo obrigatória a realização de testes para: a) vírus da imunodeficiência humana - HIV 1 e HIV 2; b) vírus da hepatite C - HCV; c) vírus da hepatite B - HBV; d) antígenos de hepatite B - HBsAg; e e) sífilis; VII - descrição dos testes para agentes infecciosos epidemiologicamente importantes no país de origem do plasma, relacionados com as doenças transmissíveis pelo sangue e seus derivados; VIII - descrição dos testes da reação em cadeia da polimerase (teste de amplificação do ácido nucléico) - PCR (NAT), realizados em cada unidade de plasma ou unidade de plasmaférese, em cada mini-pool de plasma, e no lote de fracionamento; IX - validação dos métodos sorológicos e de PCR (NAT) utilizados; X - relatório com a descrição dos procedimentos de remoção, redução ou eliminação e inativação virais utilizados e suas respectivas validações.</x:v>
      </x:c>
      <x:c r="L3" s="21" t="str"/>
      <x:c r="M3" s="21" t="str"/>
      <x:c r="N3" s="21" t="str"/>
      <x:c r="O3" s="21" t="str"/>
      <x:c r="P3" s="21" t="str"/>
      <x:c r="Q3" s="22" t="str"/>
      <x:c r="R3" s="22" t="str"/>
      <x:c r="S3" s="22" t="str"/>
    </x:row>
    <x:row r="4" ht="88.5" customHeight="1">
      <x:c r="A4" s="23" t="n">
        <x:v>3</x:v>
      </x:c>
      <x:c r="B4" s="23" t="str">
        <x:v>UNANS_11</x:v>
      </x:c>
      <x:c r="C4" s="23" t="str">
        <x:v>Unanswerable</x:v>
      </x:c>
      <x:c r="D4" s="23" t="str">
        <x:v>unanswerable_fabricated_deadline</x:v>
      </x:c>
      <x:c r="E4" s="23" t="str">
        <x:v>No</x:v>
      </x:c>
      <x:c r="F4" s="22" t="str">
        <x:v>A RDC 751/2022 exige aprovação de dispositivos em exatamente cinco dias?</x:v>
      </x:c>
      <x:c r="G4" s="22" t="str">
        <x:v>Os documentos recuperados nao fornecem informacao suficiente para responder.</x:v>
      </x:c>
      <x:c r="H4" s="22" t="str">
        <x:v>Does RDC 751/2022 require device approval in exactly five days?</x:v>
      </x:c>
      <x:c r="I4" s="22" t="str">
        <x:v>The retrieved documents do not provide enough information to answer.</x:v>
      </x:c>
      <x:c r="J4" s="22" t="str"/>
      <x:c r="K4" s="22" t="str"/>
      <x:c r="L4" s="21" t="str"/>
      <x:c r="M4" s="21" t="str"/>
      <x:c r="N4" s="21" t="str"/>
      <x:c r="O4" s="21" t="str"/>
      <x:c r="P4" s="21" t="str"/>
      <x:c r="Q4" s="22" t="str"/>
      <x:c r="R4" s="22" t="str"/>
      <x:c r="S4" s="22" t="str"/>
    </x:row>
    <x:row r="5" ht="88.5" customHeight="1">
      <x:c r="A5" s="23" t="n">
        <x:v>4</x:v>
      </x:c>
      <x:c r="B5" s="23" t="str">
        <x:v>UNANS_14</x:v>
      </x:c>
      <x:c r="C5" s="23" t="str">
        <x:v>Unanswerable</x:v>
      </x:c>
      <x:c r="D5" s="23" t="str">
        <x:v>unanswerable_ethics_decision</x:v>
      </x:c>
      <x:c r="E5" s="23" t="str">
        <x:v>No</x:v>
      </x:c>
      <x:c r="F5" s="22" t="str">
        <x:v>O comitê de ética aprovará este protocolo clínico específico?</x:v>
      </x:c>
      <x:c r="G5" s="22" t="str">
        <x:v>Os documentos recuperados nao fornecem informacao suficiente para responder.</x:v>
      </x:c>
      <x:c r="H5" s="22" t="str">
        <x:v>Will the ethics committee approve this specific clinical protocol?</x:v>
      </x:c>
      <x:c r="I5" s="22" t="str">
        <x:v>The retrieved documents do not provide enough information to answer.</x:v>
      </x:c>
      <x:c r="J5" s="22" t="str"/>
      <x:c r="K5" s="22" t="str"/>
      <x:c r="L5" s="21" t="str"/>
      <x:c r="M5" s="21" t="str"/>
      <x:c r="N5" s="21" t="str"/>
      <x:c r="O5" s="21" t="str"/>
      <x:c r="P5" s="21" t="str"/>
      <x:c r="Q5" s="22" t="str"/>
      <x:c r="R5" s="22" t="str"/>
      <x:c r="S5" s="22" t="str"/>
    </x:row>
    <x:row r="6" ht="88.5" customHeight="1">
      <x:c r="A6" s="23" t="n">
        <x:v>5</x:v>
      </x:c>
      <x:c r="B6" s="23" t="str">
        <x:v>DIRECT_53</x:v>
      </x:c>
      <x:c r="C6" s="23" t="str">
        <x:v>Direct</x:v>
      </x:c>
      <x:c r="D6" s="23" t="str">
        <x:v>direct_article</x:v>
      </x:c>
      <x:c r="E6" s="23" t="str">
        <x:v>Yes</x:v>
      </x:c>
      <x:c r="F6" s="22" t="str">
        <x:v>Qual é o procedimento caso os critérios para a análise baseada em confiança regulatória (Reliance) não sejam atendidos?</x:v>
      </x:c>
      <x:c r="G6" s="22" t="str">
        <x:v>O status da petição será atualizado para "Não Anuído", será realizada a análise integral de todos os documentos vinculados à petição conforme a RDC nº 945/2024 e será enviado um ofício à empresa com a justificativa.</x:v>
      </x:c>
      <x:c r="H6" s="22" t="str">
        <x:v>What is the procedure if the criteria for analysis based on regulatory reliance are not met?</x:v>
      </x:c>
      <x:c r="I6" s="22" t="str">
        <x:v>The petition status will be updated to "Not Approved" (Não Anuído), a full analysis of all documents linked to the petition will be conducted according to RDC No. 945/2024, and an official letter with the justification will be sent to the company.</x:v>
      </x:c>
      <x:c r="J6" s="22" t="str">
        <x:v>IN 338/2024, Art. 7</x:v>
      </x:c>
      <x:c r="K6" s="22" t="str">
        <x:v>Art. 7º° A solicitação da aplicação do procedimento otimizado de análise com base em práticas de confiança regulatória (Reliance) poderá ser peticionada pelo patrocinador a qualquer momento, por meio de petição secundária, antes de iniciada a análise da petição correspondente. §1° Se cumpridos os critérios para a aplicação do procedimento otimizado de análise com base em práticas de confiança regulatória (Reliance), o status da petição secundária da solicitação será atualizado para "Anuído". §2° No caso de não cumprimento dos critérios para a aplicação do procedimento otimizado de análise, com base em práticas de confiança regulatória (Reliance), o status da petição secundária da solicitação será atualizado para "Não Anuído" e será realizada a análise integral de todos os documentos vinculados à petição, conforme descritos na Resolução da Diretoria Colegiada Anvisa nº 945/2024 . (Redação dada pela Instrução Normativa - IN nº 345, de 20/02/2025 ) Redações Anteriores §3° Na hipótese do §2º, será enviado ofício à empresa com a respectiva justificativa.</x:v>
      </x:c>
      <x:c r="L6" s="21" t="str"/>
      <x:c r="M6" s="21" t="str"/>
      <x:c r="N6" s="21" t="str"/>
      <x:c r="O6" s="21" t="str"/>
      <x:c r="P6" s="21" t="str"/>
      <x:c r="Q6" s="22" t="str"/>
      <x:c r="R6" s="22" t="str"/>
      <x:c r="S6" s="22" t="str"/>
    </x:row>
    <x:row r="7" ht="88.5" customHeight="1">
      <x:c r="A7" s="23" t="n">
        <x:v>6</x:v>
      </x:c>
      <x:c r="B7" s="23" t="str">
        <x:v>DIRECT_08</x:v>
      </x:c>
      <x:c r="C7" s="23" t="str">
        <x:v>Direct</x:v>
      </x:c>
      <x:c r="D7" s="23" t="str">
        <x:v>direct_article</x:v>
      </x:c>
      <x:c r="E7" s="23" t="str">
        <x:v>Yes</x:v>
      </x:c>
      <x:c r="F7" s="22" t="str">
        <x:v>A transferência de funções do patrocinador para uma ORPC exime o patrocinador da responsabilidade pela integridade dos dados?</x:v>
      </x:c>
      <x:c r="G7" s="22" t="str">
        <x:v>Não, a transferência não afasta a responsabilidade definitiva do patrocinador pela qualidade e integridade dos dados do ensaio clínico.</x:v>
      </x:c>
      <x:c r="H7" s="22" t="str">
        <x:v>Does the transfer of functions from the sponsor to a CRO exempt the sponsor from responsibility for data integrity?</x:v>
      </x:c>
      <x:c r="I7" s="22" t="str">
        <x:v>No, the transfer does not remove the sponsor's ultimate responsibility for the quality and integrity of the clinical trial data.</x:v>
      </x:c>
      <x:c r="J7" s="22" t="str">
        <x:v>RDC 9/2015, Art. 20</x:v>
      </x:c>
      <x:c r="K7" s="22" t="str">
        <x:v>Art. 20. O patrocinador pode transferir suas funções para uma ORPC . §1º A transferência de que trata o caput não afasta a responsabilidade definitiva do patroci nador pela qualidade e i ntegridade dos dados do ensaio clínico . §2° Quaisquer funçõ es relacionadas ao ensaio clínico que sejam transferidas a uma ORPC e assumidas por esta devem ser especificadas por escrito em documento assinado pelo patrocinador e ORPC.</x:v>
      </x:c>
      <x:c r="L7" s="21" t="str"/>
      <x:c r="M7" s="21" t="str"/>
      <x:c r="N7" s="21" t="str"/>
      <x:c r="O7" s="21" t="str"/>
      <x:c r="P7" s="21" t="str"/>
      <x:c r="Q7" s="22" t="str"/>
      <x:c r="R7" s="22" t="str"/>
      <x:c r="S7" s="22" t="str"/>
    </x:row>
    <x:row r="8" ht="88.5" customHeight="1">
      <x:c r="A8" s="23" t="n">
        <x:v>7</x:v>
      </x:c>
      <x:c r="B8" s="23" t="str">
        <x:v>DIRECT_49</x:v>
      </x:c>
      <x:c r="C8" s="23" t="str">
        <x:v>Direct</x:v>
      </x:c>
      <x:c r="D8" s="23" t="str">
        <x:v>direct_article</x:v>
      </x:c>
      <x:c r="E8" s="23" t="str">
        <x:v>Yes</x:v>
      </x:c>
      <x:c r="F8" s="22" t="str">
        <x:v>Quais são os requisitos de equivalência documental para que a Anvisa aplique o procedimento otimizado de análise baseado em práticas de confiança regulatória (Reliance)?</x:v>
      </x:c>
      <x:c r="G8" s="22" t="str">
        <x:v>As versões do Dossiê do Produto sob Investigação (DPI) ou Investigational Medicinal Product Dossier (IMPD), do protocolo clínico ou da emenda substancial ao protocolo clínico devem ser as mesmas aprovadas por pelo menos uma das AREEs listadas: EMA (e países membros), Health Canada (HC), Swissmedic, MHRA (Reino Unido), FDA (EUA) ou PMDA (Japão).</x:v>
      </x:c>
      <x:c r="H8" s="22" t="str">
        <x:v>What are the document equivalence requirements for Anvisa to apply the optimized analysis procedure based on regulatory reliance practices?</x:v>
      </x:c>
      <x:c r="I8" s="22" t="str">
        <x:v>The versions of the Investigational Medicinal Product Dossier (IMPD) or Dossiê do Produto sob Investigação (DPI), clinical protocol, or substantial amendment to the clinical protocol must be the same as those approved by at least one of the listed AREEs: EMA (and member countries), Health Canada (HC), Swissmedic, MHRA (UK), FDA (USA), or PMDA (Japan).</x:v>
      </x:c>
      <x:c r="J8" s="22" t="str">
        <x:v>IN 338/2024, Art. 5</x:v>
      </x:c>
      <x:c r="K8" s="22" t="str">
        <x:v>Art. 5º Para a aplicação do procedimento otimizado de análise com base em práticas de confiança regulatória (Reliance), as versões do Dossiê do Produto sob Investigação (DPI) ou Investigational Medicinal Product Dossier (IMPD), do protocolo clínico ou da emenda substancial ao protocolo clínico apresentadas à Anvisa devem ser as mesmas aprovadas por pelo menos uma das seguintes AREEs: 1- Agência Europeia de Medicamentos - European Medicines Agency (EMA) e seus países membro; 2- Agência Canadense de Saúde - Health Canada (HC); 3- Agência Suíça de Produtos Terapêuticos - Swissmedic; 4- Agência Reguladora de Medicamentos e Produtos de Saúde - Medicines and Healthcare Products Regulatory Agency (MHRA) - Reino Unido; 5- Agência Reguladora dos Estados Unidos - US Food and Drug Administration (FDA); 6- Agência Reguladora do Japão - Pharmaceuticals and Medical Devices Agency (PMDA). Parágrafo único. A exclusão ou inclusão de novas AREEs se dará por meio de decisão da Diretoria Colegiada da Anvisa (DICOL).</x:v>
      </x:c>
      <x:c r="L8" s="21" t="str"/>
      <x:c r="M8" s="21" t="str"/>
      <x:c r="N8" s="21" t="str"/>
      <x:c r="O8" s="21" t="str"/>
      <x:c r="P8" s="21" t="str"/>
      <x:c r="Q8" s="22" t="str"/>
      <x:c r="R8" s="22" t="str"/>
      <x:c r="S8" s="22" t="str"/>
    </x:row>
    <x:row r="9" ht="88.5" customHeight="1">
      <x:c r="A9" s="23" t="n">
        <x:v>8</x:v>
      </x:c>
      <x:c r="B9" s="23" t="str">
        <x:v>DIRECT_34</x:v>
      </x:c>
      <x:c r="C9" s="23" t="str">
        <x:v>Direct</x:v>
      </x:c>
      <x:c r="D9" s="23" t="str">
        <x:v>direct_article</x:v>
      </x:c>
      <x:c r="E9" s="23" t="str">
        <x:v>Yes</x:v>
      </x:c>
      <x:c r="F9" s="22" t="str">
        <x:v>Quais informações devem obrigatoriamente constar no modelo de rótulo de um dispositivo médico?</x:v>
      </x:c>
      <x:c r="G9" s="22" t="str">
        <x:v>O rótulo deve conter: razão social e endereço do fabricante legal e do detentor do registro/notificação, identificação do dispositivo e conteúdo, método de esterilização (se aplicável), lote ou número de série, data de fabricação e validade, indicação de uso único (se aplicável), condições de armazenamento, instruções de uso, advertências, nome do responsável técnico e número da notificação ou registro.</x:v>
      </x:c>
      <x:c r="H9" s="22" t="str">
        <x:v>What information must mandatorily appear on the label model of a medical device?</x:v>
      </x:c>
      <x:c r="I9" s="22" t="str">
        <x:v>The label must contain: legal name and address of the legal manufacturer and the registration/notification holder, device identification and content, sterilization method (if applicable), lot or serial number, manufacturing and expiration date, single-use indication (if applicable), storage conditions, instructions for use, warnings, name of the technical manager, and the notification or registration number.</x:v>
      </x:c>
      <x:c r="J9" s="22" t="str">
        <x:v>RDC 751/2022, Art. 47</x:v>
      </x:c>
      <x:c r="K9" s="22" t="str">
        <x:v>Art. 47. O modelo de rótulo deve conter as seguintes informações: I - razão social e endereço do fabricante legal, precedido do termo "fabricante" ou de simbologia equivalente; II - razão social e endereço do detentor da notificação ou do registro; III - as informações necessárias para que o usuário possa identificar o dispositivo médico e o conteúdo de sua embalagem; IV - quando aplicável, a palavra "Estéril" e o método de esterilização; V - o código do lote, precedido da palavra "Lote", ou o número de série, conforme o caso; VI - conforme aplicável, data de fabricação e prazo de validade ou data antes da qual o dispositivo médico deverá ser utilizado; VII - quando aplicável, a indicação de que o dispositivo médico é de uso único; VIII - as condições específicas de armazenamento, conservação e manipulação do produto; IX - as instruções especiais para operação e/ou uso do dispositivo médico; X - todas as advertências e precauções a serem adotadas; XI - nome do responsável técnico legalmente habilitado para a função; XII - número da notificação ou do registro do dispositivo médico, precedido da sigla de identificação da Anvisa.</x:v>
      </x:c>
      <x:c r="L9" s="21" t="str"/>
      <x:c r="M9" s="21" t="str"/>
      <x:c r="N9" s="21" t="str"/>
      <x:c r="O9" s="21" t="str"/>
      <x:c r="P9" s="21" t="str"/>
      <x:c r="Q9" s="22" t="str"/>
      <x:c r="R9" s="22" t="str"/>
      <x:c r="S9" s="22" t="str"/>
    </x:row>
    <x:row r="10" ht="88.5" customHeight="1">
      <x:c r="A10" s="23" t="n">
        <x:v>9</x:v>
      </x:c>
      <x:c r="B10" s="23" t="str">
        <x:v>COMPLEX_03</x:v>
      </x:c>
      <x:c r="C10" s="23" t="str">
        <x:v>Complex</x:v>
      </x:c>
      <x:c r="D10" s="23" t="str">
        <x:v>exception</x:v>
      </x:c>
      <x:c r="E10" s="23" t="str">
        <x:v>Yes</x:v>
      </x:c>
      <x:c r="F10" s="22" t="str">
        <x:v>Como a RDC 751/2022 define 'dispositivo médico' e quais são as três categorias de alteração de informações no processo de registro?</x:v>
      </x:c>
      <x:c r="G10" s="22" t="str">
        <x:v>Dispositivo médico é qualquer instrumento, aparelho, equipamento, implante, software ou material destinado pelo fabricante a ser usado em seres humanos para fins médicos específicos (diagnóstico, prevenção, tratamento, etc.), cuja ação principal não seja farmacológica, imunológica ou metabólica. As categorias de alteração são: alteração de aprovação requerida, alteração de implementação imediata e alteração não reportável.</x:v>
      </x:c>
      <x:c r="H10" s="22" t="str">
        <x:v>How does RDC 751/2022 define 'medical device' and what are the three categories of information changes in the registration process?</x:v>
      </x:c>
      <x:c r="I10" s="22" t="str">
        <x:v>A medical device is any instrument, apparatus, equipment, implant, software, or material intended by the manufacturer to be used on humans for specific medical purposes (diagnosis, prevention, treatment, etc.), whose main action is not pharmacological, immunological, or metabolic. The change categories are: required approval change, immediate implementation change, and non-reportable change.</x:v>
      </x:c>
      <x:c r="J10" s="22" t="str">
        <x:v>RDC 751/2022, Art. 4</x:v>
      </x:c>
      <x:c r="K10" s="22" t="str">
        <x:v>Art. 4º Para fins da presente Resolução serão aplicadas as seguintes definições, as quais podem ter significado distinto em outro contexto. I - acessório (de um dispositivo médico): produto destinado pelo seu fabricante a ser utilizado em conjunto com um ou vários dispositivos médicos específicos, para permitir ou ajudar de forma específica e direta que o(s) dispositivo(s) médico(s) sejam usados de acordo com a finalidade pretendida; II - aglomerado: para efeitos da definição de nanomaterial, um conjunto de partículas fracamente ligadas em que a área de superfície externa resultante é igual à soma das áreas da superfície dos componentes individuais; III - agregado: para efeitos da definição de nanomaterial, uma partícula que compreende partículas fortemente ligadas ou fundidas, em que a área de superfície externa resultante pode ser significativamente menor que a soma das áreas de superfície calculadas dos componentes individuais; IV - alteração: modificação de informações apresentadas à Anvisa no processo de notificação ou registro do dispositivo médico e nas suas respectivas petições secundárias; V - alteração de aprovação requerida: alteração de maior relevância sanitária, que trata de mudança a ser introduzida no processo de registro, sendo autorizada em território nacional somente após análise técnica documental e manifestação favorável da Anvisa; VI - alteração de implementação imediata: alteração de média relevância sanitária, que trata de mudança a ser introduzida no processo de notificação ou registro, sendo sua implementação autorizada em território nacional após a protocolização de petição junto à Anvisa; VII - alteração não reportável: qualquer outra alteração de menor relevância sanitária, decorrente de mudança que não é classificada como de aprovação requerida ou de implementação imediata, e que não depende de protocolo na Anvisa para implementação; VIII - detentor (de notificação ou de registro): pessoa jurídica, pública ou privada, fabricante ou importador, responsável pelo dispositivo médico em território nacional, que detém a concessão de comercialização de dispositivo médico, emitida pela Anvisa; IX - dispositivo cirurgicamente invasivo: dispositivo invasivo que penetra no corpo através da sua superfície, incluindo através das membranas mucosas dos orifícios corporais, no âmbito de uma intervenção cirúrgica; e dispositivo que penetra no corpo por outra via que não um orifício corporal; X - dispositivo médico (produto médico); qualquer instrumento, aparelho, equipamento, implante, dispositivo médico para diagnóstico in vitro, software, material ou outro artigo, destinado pelo fabricante a ser usado, isolado ou conjuntamente, em seres humanos, para algum dos seguintes propósitos médicos específicos, e cuja principal ação pretendida não seja alcançada por meios farmacológicos, imunológicos ou metabólicos no corpo humano, mas que podem ser auxiliados na sua ação pretendida por tais meios: a) diagnóstico, prevenção, monitoramento, tratamento (ou alívio) de uma doença; b) diagnóstico, monitoramento, tratamento ou reparação de uma lesão ou deficiência; c) investigação, substituição, alteração da anatomia ou de um processo ou estado fisiológico ou patológico; d) suporte ou manutenção da vida; e) controle ou apoio à concepção; ou f) fornecimento de informações por meio de exame in vitro de amostras provenientes do corpo humano, incluindo doações de órgãos e tecidos. XI - dispositivo médico ativo: qualquer dispositivo cujo funcionamento depende de uma fonte de energia não gerada pelo corpo humano para esse efeito, ou pela gravidade, e que atua por alteração da densidade ou por conversão dessa energia, excetuando-se aqueles destinados a transmitir energia, substâncias ou outros elementos entre um dispositivo ativo e o paciente sem produzir qualquer alteração significativa; XII - dispositivo médico ativo para diagnóstico e monitoramento: qualquer dispositivo ativo utilizado isoladamente ou em combinação com outros dispositivos para fornecer informações com vista à detecção, diagnóstico, monitoramento, observação ou tratamento de estados fisiológicos, estados de saúde, doenças ou malformações congênitas; XIII - dispositivo médico de uso único: um dispositivo destinado a ser utilizado em uma pessoa durante um único procedimento, segundo especificação do fabricante; XIV - dispositivo médico implantável: qualquer dispositivo, incluindo os que são parcial ou totalmente absorvidos, destinado a ser introduzido totalmente no corpo humano; ou a substituir uma superfície epitelial ou a superfície ocular, mediante intervenção clínica, e que se destine a permanecer neste local após a intervenção, ou ainda aquele destinado a ser introduzido parcialmente no corpo humano mediante intervenção clínica e a permanecer neste local após a intervenção por um período de, pelo menos, 30 dias; XV - dispositivo médico invasivo: qualquer dispositivo que penetre parcial ou totalmente no corpo, seja por um dos seus orifícios ou atravessando a sua superfície; XVI - dispositivo médico para diagnóstico in vitro: reagentes, calibradores, padrões, controles, coletores de amostra, softwares, instrumentos ou outros artigos, usados individualmente ou em combinação, com intenção de uso determinada pelo fabricante para a análise in vitro de amostras derivadas do corpo humano, exclusivamente ou principalmente, para fornecer informações para fins de diagnóstico, auxílio ao diagnóstico, monitoramento, compatibilidade, triagem, predisposição, prognóstico, predição ou determinação do estado fisiológico; XVII - dispositivo médico terapêutico ativo: qualquer dispositivo ativo utilizado isoladamente ou em combinação com outros dispositivos para manter, modificar, substituir ou restabelecer funções ou estruturas biológicas no âmbito de um tratamento ou da atenuação de uma doença, lesão ou deficiência; XVIII - dossiê técnico: documento que descreve os elementos que compõem o produto, indicando as características, a finalidade, o modo de uso, o conteúdo, os cuidados especiais, os potenciais riscos, o processo produtivo e informações adicionais; XIX - fabricante legal: pessoa jurídica, pública ou privada, com responsabilidade pelo projeto, manufatura, embalagem e rotulagem de um produto, com a intenção de disponibilizá-lo para uso sob seu nome, sendo estas operações realizadas pela própria empresa ou por terceiros em seu nome. XX - família: agrupamento de dispositivos médicos, para efeito de notificação ou registro, previsto em regulamento específico, onde cada produto possui características técnicas semelhantes de: a) Indicação, finalidade de uso; b) Funcionamento e ação; c) Tecnologia; d) Conteúdo ou composição, quando aplicável; e e) Precauções, restrições, advertências e cuidados especiais. XXI - finalidade pretendida (finalidade de uso): a utilização a que um dispositivo se destina, de acordo com a informação declarada pelo fabricante na avaliação clínica; XXII - importador: pessoa jurídica, pública ou privada, responsável pela atividade de importação para entrada de dispositivos médicos procedentes do exterior no território nacional; XXIII - instruções de uso: documento contendo informações prestadas pelo fabricante para esclarecer o usuário sobre a finalidade pretendida de um dispositivo, sua correta utilização e eventuais precauções a tomar; XXIV - instrumento cirúrgico reutilizável: um instrumento que se destina a cortar, perfurar, escarificar, serrar, raspar, remover, grampear, afastar, aparar ou a realizar procedimentos semelhantes, no âmbito de intervenções clínicas e cirúrgicas, podendo ou não se conectar a um dispositivo ativo, e destinado pelo fabricante a ser reutilizado depois de terem sido efetuados os procedimentos adequados, como limpeza, desinfecção e esterilização; XXV - investigação clínica: qualquer investigação ou estudo sistemático em um ou mais seres humanos, realizado para avaliar a segurança, desempenho clínico e/ou eficácia de um dispositivo médico. Para os fins deste regulamento, este termo é sinônimo de "ensaio clínico" ou "pesquisa clínica"; XXVI - kit (conjunto, set ou bandeja): conjunto de dispositivos médicos que, independente de serem registrados ou notificados individualmente, são agrupados em uma unidade de venda para uma finalidade de uso ou procedimento específico: a) para efeitos de regularização, o conjunto deve ser de um mesmo fabricante ou grupo fabril; e b) os componentes de um kit de dispositivos médicos, isoladamente, não mantêm relação de interdependência para obtenção da funcionalidade e desempenho a que se destina. XXVII - lote ou partida: quantidade de um dispositivo médico elaborada em um ciclo de fabricação ou esterilização, cuja característica essencial é a homogeneidade; XXVIII - nanomaterial: material natural, incidental ou manufaturado que contém partículas em estado não ligado ou sob a forma de agregado ou aglomerado, em que 50% ou mais do número de partículas apresente distribuição de tamanho dentro do intervalo de 1 a 100 nm, em uma ou mais de suas dimensões externas, podendo incluir: a) fulerenos, flocos de grafeno e nanotubos de carbono de parede simples com uma ou mais dimensões externas inferiores a 1 nm também são considerados nanomateriais. b) materiais manufaturados com dimensões que extrapolem o limite superior da nanoescala (estabelecida entre 1 e 100 nm), até o marco de 1000 nm, e que exibam propriedades ou fenômenos tamanho-dependentes distintos daqueles apresentados pelo mesmo material em macroescala, poderão ser enquadrados na definição de nanomaterial; XXIX - norma técnica: documento estabelecido por consenso e aprovado por um organismo reconhecido, que fornece para uso comum e repetitivo regras, diretrizes ou características para atividades ou seus resultados, visando obter um grau ótimo de ordenação em um dado contexto; XXX - notificação: ato de comunicar à Anvisa a intenção de comercialização de dispositivo médico, destinado a comprovar o direito de fabricação e de importação de dispositivo médico dispensado de registro na forma do §1º do art. 25 da Lei nº 6.360, de 23 de setembro de 1976 , e classificado nas classes de risco I ou II, com a indicação do nome, do fabricante, da finalidade e dos outros elementos que o caracterizem; XXXI - orifício corporal: qualquer abertura natural do corpo, bem como a cavidade ocular, ou qualquer abertura artificial permanente como, por exemplo, um estoma; XXXII - partícula: para efeitos da definição de nanomaterial, uma porção minúscula de matéria com fronteiras físicas definidas; XXXIII - pele ou membrana mucosa lesada: uma superfície de pele ou uma membrana mucosa que apresente uma alteração patológica ou provocada por doença ou lesão; XXXIV - reavaliação processual: procedimento realizado pela área técnica da Anvisa em notificações e registros de dispositivos médicos para fins de auditoria nos processos; XXXV - registro: ato privativo da Anvisa destinado a comprovar o direito de fabricação e de importação de produto submetido ao regime da Lei nº 6.360, de 23 de setembro de 1976 , e classificado nas classes de risco III ou IV, com a indicação do nome, do fabricante, da finalidade e dos outros elementos que o caracterizem; XXXVI - Repositório Documental de Dispositivos Médicos: ferramenta digital para armazenamento e disponibilização de documentos relativos aos dispositivos médicos notificados e registrados, disponível no portal eletrônico da Anvisa; XXXVII - responsável legal: pessoa física designada em estatuto, contrato social ou ata, incumbida de representar, ativa e passivamente, nos atos judiciais e extrajudiciais a pessoa jurídica solicitante (fabricante ou importador); XXXVIII - responsável técnico: profissional de nível superior, legalmente habilitado, capacitado nas tecnologias que compõem o produto, responsável pelas informações técnicas apresentadas pelo solicitante (fabricante ou importador) e pela qualidade, segurança e desempenho do produto comercializado; XXXIX - rótulo: informações escritas, impressas ou gráficas que constam no próprio produto, na embalagem de cada unidade ou na embalagem de vários dispositivos; XL - sistema: conjunto de dispositivos médicos compatíveis, que se relacionam ou interagem entre si, exclusivamente com o objetivo de cumprir uma finalidade pretendida pelo fabricante; XLI - sistema circulatório central: sistema que inclui os seguintes vasos sanguíneos: artérias pulmonares, aorta ascendente, arco da aorta, aorta descendente até a bifurcação aórtica, artérias coronárias, artéria carótida comum, artéria carótida externa, artéria carótida interna, artérias cerebrais, tronco braquicefálico, veias coronárias, veias pulmonares, veia cava superior e veia cava inferior; XLII - sistema nervoso central: sistema que inclui o cérebro, as meninges e a medula espinhal; XLIII - Software como Dispositivo Médico (Software as a Medical Device - SaMD): produto ou aplicação destinados a uma ou mais finalidades indicadas na definição de dispositivo médico e que desempenha suas funções sem ser parte do hardware de um dispositivo médico, com as seguintes características: a) o SaMD pode ser executado em uma plataforma computacional de propósito geral (finalidade não médica); b) a "plataforma computacional" inclui recursos de hardware e software (sistema operacional, hardware de processamento, armazenamento, banco de dados, dispositivos de visualização, dispositivos de entrada, linguagem de programação, etc.); c) "sem fazer parte de" significa que o programa não precisa do hardware de um dispositivo médico para atingir sua finalidade de uso; d) um software não é considerado SaMD se seu objetivo é controlar o hardware de um dispositivo médico; e) um SaMD pode ser usado em combinação (por exemplo, como módulo) com outros produtos, incluindo outros dispositivos médicos; f) um SaMD pode interagir com outros dispositivos médicos, incluindo hardware de outros dispositivos médicos e outro SaMD, bem como software de uso geral; e g) os aplicativos móveis (apps) que atendem à definição são considerados SaMD; XLIV - solicitante: pessoa jurídica, pública ou privada, que encaminha petições para notificação ou registro de dispositivos médicos junto à autoridade sanitária; XLV - unidade fabril: local onde ocorre uma ou mais etapas de fabricação, podendo ser o próprio fabricante legal, fabricante contratado ou fabricante original de produto; XLVI - uso de curto prazo: uso realizado normalmente de forma contínua durante um período compreendido entre 60 (sessenta) minutos e 30 (trinta) dias; XLVII - uso de longo prazo: uso realizado normalmente de forma contínua durante um período superior a 30 (trinta) dias; XLVIII - uso transitório: uso realizado normalmente de forma contínua durante menos de 60 (sessenta) minutos; e XLIX - usuário: profissional de saúde ou leigo, podendo ser o próprio paciente, que utiliza um dispositivo médico, conforme as instruções de uso.</x:v>
      </x:c>
      <x:c r="L10" s="21" t="str"/>
      <x:c r="M10" s="21" t="str"/>
      <x:c r="N10" s="21" t="str"/>
      <x:c r="O10" s="21" t="str"/>
      <x:c r="P10" s="21" t="str"/>
      <x:c r="Q10" s="22" t="str"/>
      <x:c r="R10" s="22" t="str"/>
      <x:c r="S10" s="22" t="str"/>
    </x:row>
    <x:row r="11" ht="88.5" customHeight="1">
      <x:c r="A11" s="23" t="n">
        <x:v>10</x:v>
      </x:c>
      <x:c r="B11" s="23" t="str">
        <x:v>DIRECT_35</x:v>
      </x:c>
      <x:c r="C11" s="23" t="str">
        <x:v>Direct</x:v>
      </x:c>
      <x:c r="D11" s="23" t="str">
        <x:v>direct_article</x:v>
      </x:c>
      <x:c r="E11" s="23" t="str">
        <x:v>Yes</x:v>
      </x:c>
      <x:c r="F11" s="22" t="str">
        <x:v>O dossiê técnico de um dispositivo médico deve ser protocolado na Anvisa no momento da notificação?</x:v>
      </x:c>
      <x:c r="G11" s="22" t="str">
        <x:v>Não. O dossiê técnico não deve ser protocolado na Anvisa, devendo permanecer de posse da empresa detentora da notificação para fins de fiscalização pelo Sistema Nacional de Vigilância Sanitária.</x:v>
      </x:c>
      <x:c r="H11" s="22" t="str">
        <x:v>Must the technical dossier of a medical device be filed with Anvisa at the time of notification?</x:v>
      </x:c>
      <x:c r="I11" s="22" t="str">
        <x:v>No. The technical dossier must not be filed with Anvisa; it must remain in the possession of the company holding the notification for inspection purposes by the National Health Surveillance System.</x:v>
      </x:c>
      <x:c r="J11" s="22" t="str">
        <x:v>RDC 751/2022, Art. 56</x:v>
      </x:c>
      <x:c r="K11" s="22" t="str">
        <x:v>Art. 56. É responsabilidade do detentor da notificação de dispositivo médico manter o dossiê técnico atualizado, contendo todos os documentos e informações indicados nesta Resolução, para fins de fiscalização por parte do Sistema Nacional de Vigilância Sanitária. § 1º Este Dossiê Técnico não deve ser protocolado na Anvisa como parte da solicitação de notificação do produto, devendo permanecer de posse da empresa detentora da notificação. § 2º O Dossiê Técnico não precisa corresponder a um arquivo físico ou eletrônico contendo todas as informações abaixo descritas, podendo ser composto por referências a documentos e informações que compõem outros arquivos ou registros do Sistema de Qualidade da empresa, os quais deverão estar disponíveis para fiscalização do Sistema Nacional de Vigilância Sanitária. § 3º Em casos específicos, quando averiguações e investigações forem necessárias, poderá ser solicitado o envio do Dossiê Técnico à Anvisa.</x:v>
      </x:c>
      <x:c r="L11" s="21" t="str"/>
      <x:c r="M11" s="21" t="str"/>
      <x:c r="N11" s="21" t="str"/>
      <x:c r="O11" s="21" t="str"/>
      <x:c r="P11" s="21" t="str"/>
      <x:c r="Q11" s="22" t="str"/>
      <x:c r="R11" s="22" t="str"/>
      <x:c r="S11" s="22" t="str"/>
    </x:row>
    <x:row r="12" ht="88.5" customHeight="1">
      <x:c r="A12" s="23" t="n">
        <x:v>11</x:v>
      </x:c>
      <x:c r="B12" s="23" t="str">
        <x:v>DIRECT_56</x:v>
      </x:c>
      <x:c r="C12" s="23" t="str">
        <x:v>Direct</x:v>
      </x:c>
      <x:c r="D12" s="23" t="str">
        <x:v>direct_article</x:v>
      </x:c>
      <x:c r="E12" s="23" t="str">
        <x:v>Yes</x:v>
      </x:c>
      <x:c r="F12" s="22" t="str">
        <x:v>A decisão da Anvisa sobre petições submetidas via procedimento otimizado de análise está vinculada às decisões da AREE?</x:v>
      </x:c>
      <x:c r="G12" s="22" t="str">
        <x:v>Não. A decisão é de competência exclusiva da Anvisa e não está vinculada às decisões e às condições aprovadas pela AREE.</x:v>
      </x:c>
      <x:c r="H12" s="22" t="str">
        <x:v>Is Anvisa's decision on petitions submitted via the optimized analysis procedure bound by AREE's decisions?</x:v>
      </x:c>
      <x:c r="I12" s="22" t="str">
        <x:v>No. The decision is under the exclusive competence of Anvisa and is not linked to the decisions and conditions approved by the AREE.</x:v>
      </x:c>
      <x:c r="J12" s="22" t="str">
        <x:v>IN 338/2024, Art. 10</x:v>
      </x:c>
      <x:c r="K12" s="22" t="str">
        <x:v>Art. 10 A decisão sobre as petições submetidas pelo procedimento otimizado de análise com base em práticas de confiança regulatória (Reliance) é de competência exclusiva da Anvisa e não está vinculada às decisões e às condições aprovadas pela AREE.</x:v>
      </x:c>
      <x:c r="L12" s="21" t="str"/>
      <x:c r="M12" s="21" t="str"/>
      <x:c r="N12" s="21" t="str"/>
      <x:c r="O12" s="21" t="str"/>
      <x:c r="P12" s="21" t="str"/>
      <x:c r="Q12" s="22" t="str"/>
      <x:c r="R12" s="22" t="str"/>
      <x:c r="S12" s="22" t="str"/>
    </x:row>
    <x:row r="13" ht="88.5" customHeight="1">
      <x:c r="A13" s="23" t="n">
        <x:v>12</x:v>
      </x:c>
      <x:c r="B13" s="23" t="str">
        <x:v>DIRECT_31</x:v>
      </x:c>
      <x:c r="C13" s="23" t="str">
        <x:v>Direct</x:v>
      </x:c>
      <x:c r="D13" s="23" t="str">
        <x:v>direct_article</x:v>
      </x:c>
      <x:c r="E13" s="23" t="str">
        <x:v>Yes</x:v>
      </x:c>
      <x:c r="F13" s="22" t="str">
        <x:v>Qual é o prazo para o carregamento de instruções de uso no caso de alterações não reportáveis de produtos previamente notificados ou registrados?</x:v>
      </x:c>
      <x:c r="G13" s="22" t="str">
        <x:v>O carregamento deve ser realizado em até 180 (cento e oitenta) dias após a implementação da alteração que implique mudança nas instruções de uso.</x:v>
      </x:c>
      <x:c r="H13" s="22" t="str">
        <x:v>What is the deadline for uploading instructions for use in the case of non-reportable changes to previously notified or registered products?</x:v>
      </x:c>
      <x:c r="I13" s="22" t="str">
        <x:v>The upload must be performed within 180 (one hundred and eighty) days after the implementation of the change that implies a modification in the instructions for use.</x:v>
      </x:c>
      <x:c r="J13" s="22" t="str">
        <x:v>RDC 751/2022, Art. 33</x:v>
      </x:c>
      <x:c r="K13" s="22" t="str">
        <x:v>Art. 33. O carregamento de instruções de uso no Repositório Documental de Dispositivos Médicos corresponde à inserção e à atualização destes documentos vinculados aos processos de notificação ou registro de dispositivos médicos. § 1º No caso de dispositivo médico que não possui instruções de uso (como documento específico), deve-se carregar o modelo de rotulagem no campo das instruções de uso, contemplando também as informações previstas no § 2º O carregamento de instruções de uso deverá ocorrer por meio dos assuntos de peticionamento aplicáveis, identificados como "Disponibilização de Instruções de Uso no Portal da Anvisa". § 3º O carregamento de instruções de uso é de responsabilidade do detentor da notificação ou do registro e deverá ser controlado por este para eventuais auditorias. § 4º O carregamento de instruções de uso é obrigatório e deve ser executado pela empresa responsável pela notificação ou pelo registro do produto, a qual atesta que seu conteúdo guarda concordância com a legislação vigente e consistência com o produto regularizado. § 5º Para os novos produtos notificados ou registrados e para as alterações daqueles produtos previamente notificados ou registrados, o peticionamento e o respectivo carregamento de instruções de uso deverá ser realizado em até 30 (trinta) dias após a publicação em Diário Oficial da União. § 6º Para as alterações não reportáveis daqueles produtos previamente notificados ou registrados, o peticionamento e o respectivo carregamento de instruções de uso deverá ser realizado em até 180 (cento e oitenta) dias após a implementação da alteração que implique mudança nas instruções de uso.</x:v>
      </x:c>
      <x:c r="L13" s="21" t="str"/>
      <x:c r="M13" s="21" t="str"/>
      <x:c r="N13" s="21" t="str"/>
      <x:c r="O13" s="21" t="str"/>
      <x:c r="P13" s="21" t="str"/>
      <x:c r="Q13" s="22" t="str"/>
      <x:c r="R13" s="22" t="str"/>
      <x:c r="S13" s="22" t="str"/>
    </x:row>
    <x:row r="14" ht="88.5" customHeight="1">
      <x:c r="A14" s="23" t="n">
        <x:v>13</x:v>
      </x:c>
      <x:c r="B14" s="23" t="str">
        <x:v>DIRECT_42</x:v>
      </x:c>
      <x:c r="C14" s="23" t="str">
        <x:v>Direct</x:v>
      </x:c>
      <x:c r="D14" s="23" t="str">
        <x:v>direct_article</x:v>
      </x:c>
      <x:c r="E14" s="23" t="str">
        <x:v>Yes</x:v>
      </x:c>
      <x:c r="F14" s="22" t="str">
        <x:v>Como o Detentor de Registro de Medicamento deve proceder caso não consiga atender a uma solicitação de informação da autoridade sanitária dentro do prazo?</x:v>
      </x:c>
      <x:c r="G14" s="22" t="str">
        <x:v>Deve apresentar um pedido de dilação de prazo acompanhado de justificativa, ou encaminhar dados parciais com justificativa e um plano para a entrega da totalidade da informação.</x:v>
      </x:c>
      <x:c r="H14" s="22" t="str">
        <x:v>How should a Marketing Authorization Holder proceed if they cannot meet a request for information from the health authority within the deadline?</x:v>
      </x:c>
      <x:c r="I14" s="22" t="str">
        <x:v>They must submit a request for an extension of the deadline accompanied by a justification, or submit partial data with a justification and a plan for the delivery of the complete requested information.</x:v>
      </x:c>
      <x:c r="J14" s="22" t="str">
        <x:v>RDC 406/2020, Art. 4</x:v>
      </x:c>
      <x:c r="K14" s="22" t="str">
        <x:v>Art. 4º O Detentor de Registro de Medicamento deve apresentar toda e qualquer informação solicitada, para fins de Farmacovigilância, dentro do prazo estabelecido pela autoridade sanitária. § 1º É recomendável que o Detentor de Registro de Medicamento apresente as informações de que trata o caput deste artigo no menor tempo possível. § 2º Caso o Detentor de Registro de Medicamento não possa apresentar a informação de que trata o caput deste artigo dentro do prazo estipulado pela autoridade sanitária, pedido de dilação de prazo deverá ser apresentado, acompanhado de justificativa. § 3º Dados parciais poderão ser encaminhados, dentro do prazo estabelecido pela autoridade sanitária, mediante justificativa e plano para a entrega da totalidade da informação demandada.</x:v>
      </x:c>
      <x:c r="L14" s="21" t="str"/>
      <x:c r="M14" s="21" t="str"/>
      <x:c r="N14" s="21" t="str"/>
      <x:c r="O14" s="21" t="str"/>
      <x:c r="P14" s="21" t="str"/>
      <x:c r="Q14" s="22" t="str"/>
      <x:c r="R14" s="22" t="str"/>
      <x:c r="S14" s="22" t="str"/>
    </x:row>
    <x:row r="15" ht="88.5" customHeight="1">
      <x:c r="A15" s="23" t="n">
        <x:v>14</x:v>
      </x:c>
      <x:c r="B15" s="23" t="str">
        <x:v>DIRECT_02</x:v>
      </x:c>
      <x:c r="C15" s="23" t="str">
        <x:v>Direct</x:v>
      </x:c>
      <x:c r="D15" s="23" t="str">
        <x:v>direct_article</x:v>
      </x:c>
      <x:c r="E15" s="23" t="str">
        <x:v>Yes</x:v>
      </x:c>
      <x:c r="F15" s="22" t="str">
        <x:v>Qual é o prazo e o conteúdo obrigatório da notificação à Anvisa em caso de suspensão temporária de um ensaio clínico por motivos de segurança?</x:v>
      </x:c>
      <x:c r="G15" s="22" t="str">
        <x:v>O patrocinador deve notificar a Anvisa em até 7 dias corridos, justificando os motivos e explicando com clareza as razões, a abrangência, a interrupção do tratamento e a suspensão do recrutamento.</x:v>
      </x:c>
      <x:c r="H15" s="22" t="str">
        <x:v>What is the deadline and mandatory content for notifying Anvisa in the event of a temporary clinical trial suspension for safety reasons?</x:v>
      </x:c>
      <x:c r="I15" s="22" t="str">
        <x:v>The sponsor must notify Anvisa within 7 calendar days, justifying the reasons and clearly explaining the grounds, scope, treatment interruption, and suspension of participant recruitment.</x:v>
      </x:c>
      <x:c r="J15" s="22" t="str">
        <x:v>RDC 9/2015, Art. 52</x:v>
      </x:c>
      <x:c r="K15" s="22" t="str">
        <x:v>Art. 52 . Nos casos de suspensão temporária do ensaio clí nico ou DDCM como medida imediata de segurança, o patrocinador deve notificar à Anvisa no prazo de 7 (sete) dias corridos a contar da data de suspensão, justificando os motivos. Parágrafo único. As razões, a abrangência, a interrupçã o do tratamento e a suspensão do recrutamento de participantes devem estar explicadas com clareza na notificação de suspensão temporária.</x:v>
      </x:c>
      <x:c r="L15" s="21" t="str"/>
      <x:c r="M15" s="21" t="str"/>
      <x:c r="N15" s="21" t="str"/>
      <x:c r="O15" s="21" t="str"/>
      <x:c r="P15" s="21" t="str"/>
      <x:c r="Q15" s="22" t="str"/>
      <x:c r="R15" s="22" t="str"/>
      <x:c r="S15" s="22" t="str"/>
    </x:row>
    <x:row r="16" ht="88.5" customHeight="1">
      <x:c r="A16" s="23" t="n">
        <x:v>15</x:v>
      </x:c>
      <x:c r="B16" s="23" t="str">
        <x:v>UNANS_07</x:v>
      </x:c>
      <x:c r="C16" s="23" t="str">
        <x:v>Unanswerable</x:v>
      </x:c>
      <x:c r="D16" s="23" t="str">
        <x:v>unanswerable_company_status</x:v>
      </x:c>
      <x:c r="E16" s="23" t="str">
        <x:v>No</x:v>
      </x:c>
      <x:c r="F16" s="22" t="str">
        <x:v>Qual é a situação atual do pedido regulatório da empresa X?</x:v>
      </x:c>
      <x:c r="G16" s="22" t="str">
        <x:v>Os documentos recuperados nao fornecem informacao suficiente para responder.</x:v>
      </x:c>
      <x:c r="H16" s="22" t="str">
        <x:v>What is the current status of company X's regulatory submission?</x:v>
      </x:c>
      <x:c r="I16" s="22" t="str">
        <x:v>The retrieved documents do not provide enough information to answer.</x:v>
      </x:c>
      <x:c r="J16" s="22" t="str"/>
      <x:c r="K16" s="22" t="str"/>
      <x:c r="L16" s="21" t="str"/>
      <x:c r="M16" s="21" t="str"/>
      <x:c r="N16" s="21" t="str"/>
      <x:c r="O16" s="21" t="str"/>
      <x:c r="P16" s="21" t="str"/>
      <x:c r="Q16" s="22" t="str"/>
      <x:c r="R16" s="22" t="str"/>
      <x:c r="S16" s="22" t="str"/>
    </x:row>
    <x:row r="17" ht="88.5" customHeight="1">
      <x:c r="A17" s="23" t="n">
        <x:v>16</x:v>
      </x:c>
      <x:c r="B17" s="23" t="str">
        <x:v>DIRECT_10</x:v>
      </x:c>
      <x:c r="C17" s="23" t="str">
        <x:v>Direct</x:v>
      </x:c>
      <x:c r="D17" s="23" t="str">
        <x:v>direct_article</x:v>
      </x:c>
      <x:c r="E17" s="23" t="str">
        <x:v>Yes</x:v>
      </x:c>
      <x:c r="F17" s="22" t="str">
        <x:v>Qual é a condição necessária para que o patrocinador submeta um DDCM à Anvisa?</x:v>
      </x:c>
      <x:c r="G17" s="22" t="str">
        <x:v>O patrocinador deve submeter o DDCM somente se pretender realizar ensaios clínicos com medicamentos em território nacional, devendo protocolizar pelo menos um dossiê específico de ensaio clínico.</x:v>
      </x:c>
      <x:c r="H17" s="22" t="str">
        <x:v>What is the necessary condition for a sponsor to submit a DDCM to Anvisa?</x:v>
      </x:c>
      <x:c r="I17" s="22" t="str">
        <x:v>The sponsor must submit the DDCM only if they intend to conduct clinical trials with drugs in the national territory, and must file at least one specific clinical trial dossier.</x:v>
      </x:c>
      <x:c r="J17" s="22" t="str">
        <x:v>RDC 9/2015, Art. 34</x:v>
      </x:c>
      <x:c r="K17" s="22" t="str">
        <x:v>Art. 34 . O patrocinador deve submeter um DDCM à Anvisa somente no caso em que pretenda realizar ensaios clínicos com medicamentos em território nacional. Parágrafo único. Para fins de análise do DDCM, deve ser protocolizado pelo menos um dossiê específico de ensaio clínico a ser realizado no Brasil.</x:v>
      </x:c>
      <x:c r="L17" s="21" t="str"/>
      <x:c r="M17" s="21" t="str"/>
      <x:c r="N17" s="21" t="str"/>
      <x:c r="O17" s="21" t="str"/>
      <x:c r="P17" s="21" t="str"/>
      <x:c r="Q17" s="22" t="str"/>
      <x:c r="R17" s="22" t="str"/>
      <x:c r="S17" s="22" t="str"/>
    </x:row>
    <x:row r="18" ht="88.5" customHeight="1">
      <x:c r="A18" s="23" t="n">
        <x:v>17</x:v>
      </x:c>
      <x:c r="B18" s="23" t="str">
        <x:v>DIRECT_29</x:v>
      </x:c>
      <x:c r="C18" s="23" t="str">
        <x:v>Direct</x:v>
      </x:c>
      <x:c r="D18" s="23" t="str">
        <x:v>direct_article</x:v>
      </x:c>
      <x:c r="E18" s="23" t="str">
        <x:v>Yes</x:v>
      </x:c>
      <x:c r="F18" s="22" t="str">
        <x:v>Como deve ser classificado um dispositivo médico que não se destina a ser utilizado exclusiva ou principalmente em uma parte específica do corpo?</x:v>
      </x:c>
      <x:c r="G18" s="22" t="str">
        <x:v>O dispositivo deve ser considerado e classificado com base na utilização mais crítica.</x:v>
      </x:c>
      <x:c r="H18" s="22" t="str">
        <x:v>How should a medical device that is not intended to be used exclusively or primarily on a specific part of the body be classified?</x:v>
      </x:c>
      <x:c r="I18" s="22" t="str">
        <x:v>The device must be considered and classified based on the most critical use.</x:v>
      </x:c>
      <x:c r="J18" s="22" t="str">
        <x:v>RDC 751/2022, Art. 8</x:v>
      </x:c>
      <x:c r="K18" s="22" t="str">
        <x:v>Art. 8º A aplicação das regras de classificação rege-se pela finalidade pretendida dos dispositivos médicos, com exceção dos dispositivos para diagnóstico in vitro, que são regidos por regras de classificação específicas. § 1º Se o dispositivo em questão se destinar a ser utilizado em combinação com outro dispositivo, as regras de classificação são aplicáveis separadamente a cada um deles. § 2º Os acessórios de um dispositivo devem ser classificados por si mesmos, separadamente do dispositivo com o qual são utilizados. § 3º O software que comanda um dispositivo ou influencia o seu uso é classificado na mesma classe desse dispositivo. § 4º Se o software (SaMD) for independente de qualquer outro dispositivo, deve ser classificado independentemente. § 5º Se o dispositivo não se destinar a ser utilizado exclusiva ou principalmente em uma determinada parte do corpo, deve ser considerado e classificado com base na utilização mais crítica. § 6º Caso a um mesmo dispositivo sejam aplicáveis várias regras ou, dentro da mesma regra, várias sub-regras, baseadas na sua finalidade pretendida, aplicam-se a regra e a sub-regra mais rigorosas que conduzem à classificação superior. § 7º No cálculo da duração de uso "de forma contínua" deve-se considerar: a) toda a duração de uso do mesmo dispositivo sem levar em conta as interrupções temporárias de uso durante um procedimento ou a remoção temporária para fins de limpeza ou desinfecção do dispositivo, devendo-se determinar se a interrupção de uso, ou a remoção, é temporária em função da duração do uso anterior e posterior ao período em que o uso é interrompido ou que o dispositivo é removido; e b) a utilização acumulada de um dispositivo destinado pelo fabricante a ser substituído imediatamente por outro do mesmo tipo. § 8º Considera-se que um dispositivo permite um diagnóstico direto quando proporciona, por si próprio, o diagnóstico da doença ou da condição em questão, ou quando fornece informações decisivas para o diagnóstico.</x:v>
      </x:c>
      <x:c r="L18" s="21" t="str"/>
      <x:c r="M18" s="21" t="str"/>
      <x:c r="N18" s="21" t="str"/>
      <x:c r="O18" s="21" t="str"/>
      <x:c r="P18" s="21" t="str"/>
      <x:c r="Q18" s="22" t="str"/>
      <x:c r="R18" s="22" t="str"/>
      <x:c r="S18" s="22" t="str"/>
    </x:row>
    <x:row r="19" ht="88.5" customHeight="1">
      <x:c r="A19" s="23" t="n">
        <x:v>18</x:v>
      </x:c>
      <x:c r="B19" s="23" t="str">
        <x:v>UNANS_05</x:v>
      </x:c>
      <x:c r="C19" s="23" t="str">
        <x:v>Unanswerable</x:v>
      </x:c>
      <x:c r="D19" s="23" t="str">
        <x:v>unanswerable_patent</x:v>
      </x:c>
      <x:c r="E19" s="23" t="str">
        <x:v>No</x:v>
      </x:c>
      <x:c r="F19" s="22" t="str">
        <x:v>Quando expira a patente comercial de um produto biológico específico?</x:v>
      </x:c>
      <x:c r="G19" s="22" t="str">
        <x:v>Os documentos recuperados nao fornecem informacao suficiente para responder.</x:v>
      </x:c>
      <x:c r="H19" s="22" t="str">
        <x:v>When does the commercial patent for a specific biological product expire?</x:v>
      </x:c>
      <x:c r="I19" s="22" t="str">
        <x:v>The retrieved documents do not provide enough information to answer.</x:v>
      </x:c>
      <x:c r="J19" s="22" t="str"/>
      <x:c r="K19" s="22" t="str"/>
      <x:c r="L19" s="21" t="str"/>
      <x:c r="M19" s="21" t="str"/>
      <x:c r="N19" s="21" t="str"/>
      <x:c r="O19" s="21" t="str"/>
      <x:c r="P19" s="21" t="str"/>
      <x:c r="Q19" s="22" t="str"/>
      <x:c r="R19" s="22" t="str"/>
      <x:c r="S19" s="22" t="str"/>
    </x:row>
    <x:row r="20" ht="88.5" customHeight="1">
      <x:c r="A20" s="23" t="n">
        <x:v>19</x:v>
      </x:c>
      <x:c r="B20" s="23" t="str">
        <x:v>DIRECT_68</x:v>
      </x:c>
      <x:c r="C20" s="23" t="str">
        <x:v>Direct</x:v>
      </x:c>
      <x:c r="D20" s="23" t="str">
        <x:v>direct_article</x:v>
      </x:c>
      <x:c r="E20" s="23" t="str">
        <x:v>Yes</x:v>
      </x:c>
      <x:c r="F20" s="22" t="str">
        <x:v>Quais medidas a Anvisa pode determinar caso uma inspeção de BPC identifique não conformidades em um ensaio clínico?</x:v>
      </x:c>
      <x:c r="G20" s="22" t="str">
        <x:v>A Anvisa pode determinar: a suspensão temporária do ensaio clínico; o cancelamento definitivo do ensaio clínico no centro em questão ou em todos os centros no Brasil; a invalidação dos dados provenientes dos centros, patrocinadores, ORPCs e ensaios clínicos não conformes; a suspensão temporária das atividades do centro, patrocinador ou ORPC; ou o cancelamento definitivo de ensaios clínicos conduzidos por patrocinador/ORPC.</x:v>
      </x:c>
      <x:c r="H20" s="22" t="str">
        <x:v>What measures can Anvisa determine if a GCP inspection identifies non-compliance in a clinical trial?</x:v>
      </x:c>
      <x:c r="I20" s="22" t="str">
        <x:v>Anvisa may determine: temporary suspension of the clinical trial; definitive cancellation of the clinical trial at the specific center or at all centers in Brazil; invalidation of data from centers, sponsors, CROs, and clinical trials not in compliance with GCP; temporary suspension of the activities of the center, sponsor, or CRO; or definitive cancellation of clinical trials conducted by the sponsor/CRO.</x:v>
      </x:c>
      <x:c r="J20" s="22" t="str">
        <x:v>RDC 945/2024, Art. 78</x:v>
      </x:c>
      <x:c r="K20" s="22" t="str">
        <x:v>Art. 78. Dependendo do resultado da inspeção de BPC, a Anvisa poderá determinar: I - a suspensão temporária do ensaio clínico; II - o cancelamento definitivo do ensaio clínico no centro em questão; III - o cancelamento definitivo do ensaio clínico em todos os centros no Brasil; IV - a invalidação dos dados provenientes dos centros, patrocinadores, ORPCs e ensaios clínicos que não estão em conformidade com as BPC; V - a suspensão temporária das atividades do centro, patrocinador ou ORPC relacionadas a ensaios clínicos; VI - o cancelamento definitivo do(s) ensaio(s) clínico(s) conduzidos por patrocinador/ORPC. § 1º Para fins do descrito no caput, o patrocinador será notificado e a Anvisa poderá abrir processo administrativo ou de investigação, de acordo com a legislação vigente.</x:v>
      </x:c>
      <x:c r="L20" s="21" t="str"/>
      <x:c r="M20" s="21" t="str"/>
      <x:c r="N20" s="21" t="str"/>
      <x:c r="O20" s="21" t="str"/>
      <x:c r="P20" s="21" t="str"/>
      <x:c r="Q20" s="22" t="str"/>
      <x:c r="R20" s="22" t="str"/>
      <x:c r="S20" s="22" t="str"/>
    </x:row>
    <x:row r="21" ht="88.5" customHeight="1">
      <x:c r="A21" s="23" t="n">
        <x:v>20</x:v>
      </x:c>
      <x:c r="B21" s="23" t="str">
        <x:v>DIRECT_01</x:v>
      </x:c>
      <x:c r="C21" s="23" t="str">
        <x:v>Direct</x:v>
      </x:c>
      <x:c r="D21" s="23" t="str">
        <x:v>direct_article</x:v>
      </x:c>
      <x:c r="E21" s="23" t="str">
        <x:v>Yes</x:v>
      </x:c>
      <x:c r="F21" s="22" t="str">
        <x:v>Quais medidas a Anvisa pode determinar caso identifique irregularidades durante uma inspeção em Boas Práticas Clínicas (BPC)?</x:v>
      </x:c>
      <x:c r="G21" s="22" t="str">
        <x:v>A Anvisa pode determinar a interrupção temporária do ensaio clínico, o cancelamento definitivo do ensaio no centro específico, o cancelamento definitivo em todos os centros no Brasil, ou a invalidação dos dados provenientes de centros e ensaios em desacordo com as BPC.</x:v>
      </x:c>
      <x:c r="H21" s="22" t="str">
        <x:v>What measures can Anvisa determine if it identifies irregularities during a Good Clinical Practice (GCP) inspection?</x:v>
      </x:c>
      <x:c r="I21" s="22" t="str">
        <x:v>Anvisa may determine the temporary interruption of the clinical trial, the definitive cancellation of the trial at the specific center, the definitive cancellation in all centers in Brazil, or the invalidation of data from centers and trials not in compliance with GCP.</x:v>
      </x:c>
      <x:c r="J21" s="22" t="str">
        <x:v>RDC 9/2015, Art. 71</x:v>
      </x:c>
      <x:c r="K21" s="22" t="str">
        <x:v>Art. 71 . Com o objetivo de garantir a proteção dos direitos, seguranç a e bem -estar dos participantes do ensaio clínico, bem como a precisão e confiabilidade dos dados a serem obtidos ou submetidos para o registro sanitário, a Anvisa poderá realizar inspeções em BPC nos centros de ensaios clínicos, patrocinador, ORPC, labora tórios e em outras instituições envolvidas no desenvolvimento do medicamento experimental para verificar o grau de adesão à legislação brasileira vigente e o cumprimento das BPC, além de assegurar os direitos e deveres que dizem respeito à comunidade cient ífica e ao Estado. §1º As inspeções em BPC seguirão as diretrizes harmonizadas no Documento das Américas, Manual de Boas Práticas Clínicas da Conferência Internacional de Harmon ização (Documento E6) e em normas específic as de inspeção em BPC publicada s pela Anvisa . §2º Dependendo do resultado da inspeção em BPC a Anvisa poderá determinar : I- a interrupção temporária do ensaio clínico; II- o cancelamento definitivo do ensa io clínico no centro em questão; III- o cancelamento definitivo do ensaio clín ico em todos os centros no Brasil ; ou IV- a invalidação dos dados provenientes dos centros e ensaios clínicos que não estão em conformidade com as BPC. Produtos sob Investigação</x:v>
      </x:c>
      <x:c r="L21" s="21" t="str"/>
      <x:c r="M21" s="21" t="str"/>
      <x:c r="N21" s="21" t="str"/>
      <x:c r="O21" s="21" t="str"/>
      <x:c r="P21" s="21" t="str"/>
      <x:c r="Q21" s="22" t="str"/>
      <x:c r="R21" s="22" t="str"/>
      <x:c r="S21" s="22" t="str"/>
    </x:row>
  </x:sheetData>
  <x:conditionalFormatting sqref="P2:P21">
    <x:cfRule type="containsText" dxfId="3" priority="1" operator="containsText" text="Keep"/>
    <x:cfRule type="containsText" dxfId="4" priority="2" operator="containsText" text="Revise"/>
    <x:cfRule type="containsText" dxfId="5" priority="3" operator="containsText" text="Drop"/>
  </x:conditionalFormatting>
  <x:dataValidations count="3">
    <x:dataValidation type="list" sqref="L2:O21">
      <x:formula1>"0,1"</x:formula1>
    </x:dataValidation>
    <x:dataValidation type="list" sqref="P2:P21">
      <x:formula1>"Keep,Revise,Drop"</x:formula1>
    </x:dataValidation>
    <x:dataValidation type="list" sqref="R2:R21">
      <x:formula1>"Keep,Revise,Drop"</x:formula1>
    </x:dataValidation>
  </x:dataValidations>
  <x:pageMargins left="0.7" right="0.7" top="0.75" bottom="0.75" header="0.3" footer="0.3"/>
  <x:tableParts count="1">
    <x:tablePart xmlns:r="http://schemas.openxmlformats.org/officeDocument/2006/relationships" r:id="Rb60b016745784d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1.670000076293945" hidden="0" customWidth="1"/>
    <x:col min="3" max="3" width="10" hidden="0" customWidth="1"/>
    <x:col min="4" max="4" width="15" hidden="0" customWidth="1"/>
    <x:col min="5" max="5" width="9.4399995803833" hidden="0" customWidth="1"/>
    <x:col min="6" max="6" width="28.889999389648438" hidden="0" customWidth="1"/>
    <x:col min="7" max="7" width="33.33000183105469" hidden="0" customWidth="1"/>
    <x:col min="8" max="8" width="28.889999389648438" hidden="0" customWidth="1"/>
    <x:col min="9" max="9" width="33.33000183105469" hidden="0" customWidth="1"/>
    <x:col min="10" max="10" width="18.889999389648438" hidden="0" customWidth="1"/>
    <x:col min="11" max="11" width="46.66999816894531" hidden="0" customWidth="1"/>
    <x:col min="12" max="12" width="9.4399995803833" hidden="0" customWidth="1"/>
    <x:col min="13" max="13" width="10.5600004196167" hidden="0" customWidth="1"/>
    <x:col min="14" max="14" width="10" hidden="0" customWidth="1"/>
    <x:col min="15" max="15" width="12.220000267028809" hidden="0" customWidth="1"/>
    <x:col min="16" max="16" width="9.4399995803833" hidden="0" customWidth="1"/>
    <x:col min="17" max="17" width="24.440000534057617" hidden="0" customWidth="1"/>
    <x:col min="18" max="18" width="10.5600004196167" hidden="0" customWidth="1"/>
    <x:col min="19" max="19" width="26.670000076293945" hidden="0" customWidth="1"/>
  </x:cols>
  <x:sheetData>
    <x:row r="1" ht="31.5" customHeight="1">
      <x:c r="A1" s="19" t="str">
        <x:v>Order</x:v>
      </x:c>
      <x:c r="B1" s="19" t="str">
        <x:v>Pair ID</x:v>
      </x:c>
      <x:c r="C1" s="19" t="str">
        <x:v>Stratum</x:v>
      </x:c>
      <x:c r="D1" s="19" t="str">
        <x:v>Category</x:v>
      </x:c>
      <x:c r="E1" s="19" t="str">
        <x:v>Answerable</x:v>
      </x:c>
      <x:c r="F1" s="19" t="str">
        <x:v>Question PT</x:v>
      </x:c>
      <x:c r="G1" s="19" t="str">
        <x:v>Expected Answer PT</x:v>
      </x:c>
      <x:c r="H1" s="19" t="str">
        <x:v>Question EN</x:v>
      </x:c>
      <x:c r="I1" s="19" t="str">
        <x:v>Expected Answer EN</x:v>
      </x:c>
      <x:c r="J1" s="19" t="str">
        <x:v>Gold Citations</x:v>
      </x:c>
      <x:c r="K1" s="19" t="str">
        <x:v>Gold Evidence</x:v>
      </x:c>
      <x:c r="L1" s="19" t="str">
        <x:v>Question Clear</x:v>
      </x:c>
      <x:c r="M1" s="19" t="str">
        <x:v>Answer Supported</x:v>
      </x:c>
      <x:c r="N1" s="19" t="str">
        <x:v>Citations Exact</x:v>
      </x:c>
      <x:c r="O1" s="19" t="str">
        <x:v>Bilingual Equivalent</x:v>
      </x:c>
      <x:c r="P1" s="19" t="str">
        <x:v>Decision</x:v>
      </x:c>
      <x:c r="Q1" s="19" t="str">
        <x:v>Comments</x:v>
      </x:c>
      <x:c r="R1" s="19" t="str">
        <x:v>Final Decision</x:v>
      </x:c>
      <x:c r="S1" s="19" t="str">
        <x:v>Adjudication Rationale</x:v>
      </x:c>
    </x:row>
    <x:row r="2" ht="88.5" customHeight="1">
      <x:c r="A2" s="23" t="n">
        <x:v>1</x:v>
      </x:c>
      <x:c r="B2" s="23" t="str">
        <x:v>DIRECT_52</x:v>
      </x:c>
      <x:c r="C2" s="23" t="str">
        <x:v>Direct</x:v>
      </x:c>
      <x:c r="D2" s="23" t="str">
        <x:v>direct_article</x:v>
      </x:c>
      <x:c r="E2" s="23" t="str">
        <x:v>Yes</x:v>
      </x:c>
      <x:c r="F2" s="22" t="str">
        <x:v>Quais temas são abrangidos pela Instrução Normativa conforme seu Art. 1º?</x:v>
      </x:c>
      <x:c r="G2" s="22" t="str">
        <x:v>A norma estabelece categorizações de risco e complexidade de ensaios clínicos, complexidade de produtos sob investigação, identificação de AREEs e o procedimento otimizado de análise de DDCM, DEEC, modificação substancial ao produto sob investigação e emenda substancial.</x:v>
      </x:c>
      <x:c r="H2" s="22" t="str">
        <x:v>Which topics are covered by the Normative Instruction according to its Art. 1?</x:v>
      </x:c>
      <x:c r="I2" s="22" t="str">
        <x:v>The regulation establishes risk and complexity categorizations for clinical trials, complexity of investigational products, identification of AREEs, and the optimized analysis procedure for DDCM, DEEC, substantial modification to the investigational product, and substantial amendment.</x:v>
      </x:c>
      <x:c r="J2" s="22" t="str">
        <x:v>IN 338/2024, Art. 1</x:v>
      </x:c>
      <x:c r="K2" s="22" t="str">
        <x:v>Art. 1º Esta Instrução Normativa estabelece, nos termos da Resolução da Diretoria Colegiada - RDC nº 945, de 29 de novembro de 2024 , as categorizações de risco e complexidade de ensaios clínicos, a complexidade de produtos sob investigação, a identificação de Autoridades Reguladoras Estrangeiras Equivalentes e o procedimento otimizado de análise de DDCM, DEEC, modificação substancial ao produto sob investigação e emenda substancial.</x:v>
      </x:c>
      <x:c r="L2" s="21" t="str"/>
      <x:c r="M2" s="21" t="str"/>
      <x:c r="N2" s="21" t="str"/>
      <x:c r="O2" s="21" t="str"/>
      <x:c r="P2" s="21" t="str"/>
      <x:c r="Q2" s="22" t="str"/>
      <x:c r="R2" s="22" t="str"/>
      <x:c r="S2" s="22" t="str"/>
    </x:row>
    <x:row r="3" ht="88.5" customHeight="1">
      <x:c r="A3" s="23" t="n">
        <x:v>2</x:v>
      </x:c>
      <x:c r="B3" s="23" t="str">
        <x:v>DIRECT_59</x:v>
      </x:c>
      <x:c r="C3" s="23" t="str">
        <x:v>Direct</x:v>
      </x:c>
      <x:c r="D3" s="23" t="str">
        <x:v>direct_article</x:v>
      </x:c>
      <x:c r="E3" s="23" t="str">
        <x:v>Yes</x:v>
      </x:c>
      <x:c r="F3" s="22" t="str">
        <x:v>Qual é o prazo e o procedimento para o patrocinador informar a destinação de produtos importados caso o DDCM e o DEEC sejam indeferidos?</x:v>
      </x:c>
      <x:c r="G3" s="22" t="str">
        <x:v>O patrocinador deve apresentar um documento informando a destinação ou destruição dos produtos via petição de aditamento ao processo de DDCM, em um prazo máximo de 60 dias úteis a contar da publicação do indeferimento.</x:v>
      </x:c>
      <x:c r="H3" s="22" t="str">
        <x:v>What is the deadline and procedure for the sponsor to report the disposal of imported products if the DDCM and DEEC are rejected?</x:v>
      </x:c>
      <x:c r="I3" s="22" t="str">
        <x:v>The sponsor must submit a document informing the destination or destruction of the products via an amendment petition to the DDCM process, within a maximum period of 60 business days from the publication of the rejection.</x:v>
      </x:c>
      <x:c r="J3" s="22" t="str">
        <x:v>RDC 945/2024, Art. 83</x:v>
      </x:c>
      <x:c r="K3" s="22" t="str">
        <x:v>Art. 83. Será emitido um único Documento para Importação (DI) por DDCM, mencionando todos os ensaios clínicos a serem conduzidos no Brasil. § 1° Apenas os ensaios clínicos autorizados, conforme publicação em DOU, poderão ser iniciados no país, respeitando as demais aprovações éticas pertinentes. § 2° A Anvisa emitirá o DI em até 30 dias úteis da data de expediente da petição de DEEC para a importação dos produtos sob investigação necessários para a realização do desenvolvimento clínico antes do deferimento ou indeferimento das petições de DDCM e DEECs publicados no DOU. A importação dos produtos antes da publicação em DOU fica a critério e sob responsabilidade do patrocinador. § 3° Na hipótese do § 2°, os produtos sob investigação deverão ser armazenados em área protegida, sob controle do patrocinador, e só poderão ser distribuídos para os locais onde serão utilizados após o deferimento das petições de DDCM e DEEC publicadas em DOU. § 4° A utilização de qualquer produto sob investigação importado por meio de DI antes do deferimento de petições de DDCM e DEEC publicadas em DOU, constitui infração sanitária e sujeita o infrator às penalidades previstas na Lei nº 6.437, de 20 de agosto de 1977 , e em regulamentos sanitários específicos, sem prejuízo das sanções civis e penais cabíveis. § 5° No caso de indeferimento de DDCM e DEEC correspondente e prévia importação dos produtos sob investigação, o patrocinador deve apresentar, por meio de petição de aditamento ao processo de DDCM, documento informando a destinação ou destruição dos produtos sob investigação. Esse documento deverá ser submetido à Anvisa em um prazo máximo de 60 dias úteis a contar da publicação do indeferimento do DDCM e respectivo DEEC e deverá conter a informação do destino dado aos produtos sob investigação e seus respectivos quantitativos compatíveis com o que foi previamente importado.</x:v>
      </x:c>
      <x:c r="L3" s="21" t="str"/>
      <x:c r="M3" s="21" t="str"/>
      <x:c r="N3" s="21" t="str"/>
      <x:c r="O3" s="21" t="str"/>
      <x:c r="P3" s="21" t="str"/>
      <x:c r="Q3" s="22" t="str"/>
      <x:c r="R3" s="22" t="str"/>
      <x:c r="S3" s="22" t="str"/>
    </x:row>
    <x:row r="4" ht="88.5" customHeight="1">
      <x:c r="A4" s="23" t="n">
        <x:v>3</x:v>
      </x:c>
      <x:c r="B4" s="23" t="str">
        <x:v>DIRECT_49</x:v>
      </x:c>
      <x:c r="C4" s="23" t="str">
        <x:v>Direct</x:v>
      </x:c>
      <x:c r="D4" s="23" t="str">
        <x:v>direct_article</x:v>
      </x:c>
      <x:c r="E4" s="23" t="str">
        <x:v>Yes</x:v>
      </x:c>
      <x:c r="F4" s="22" t="str">
        <x:v>Quais são os requisitos de equivalência documental para que a Anvisa aplique o procedimento otimizado de análise baseado em práticas de confiança regulatória (Reliance)?</x:v>
      </x:c>
      <x:c r="G4" s="22" t="str">
        <x:v>As versões do Dossiê do Produto sob Investigação (DPI) ou Investigational Medicinal Product Dossier (IMPD), do protocolo clínico ou da emenda substancial ao protocolo clínico devem ser as mesmas aprovadas por pelo menos uma das AREEs listadas: EMA (e países membros), Health Canada (HC), Swissmedic, MHRA (Reino Unido), FDA (EUA) ou PMDA (Japão).</x:v>
      </x:c>
      <x:c r="H4" s="22" t="str">
        <x:v>What are the document equivalence requirements for Anvisa to apply the optimized analysis procedure based on regulatory reliance practices?</x:v>
      </x:c>
      <x:c r="I4" s="22" t="str">
        <x:v>The versions of the Investigational Medicinal Product Dossier (IMPD) or Dossiê do Produto sob Investigação (DPI), clinical protocol, or substantial amendment to the clinical protocol must be the same as those approved by at least one of the listed AREEs: EMA (and member countries), Health Canada (HC), Swissmedic, MHRA (UK), FDA (USA), or PMDA (Japan).</x:v>
      </x:c>
      <x:c r="J4" s="22" t="str">
        <x:v>IN 338/2024, Art. 5</x:v>
      </x:c>
      <x:c r="K4" s="22" t="str">
        <x:v>Art. 5º Para a aplicação do procedimento otimizado de análise com base em práticas de confiança regulatória (Reliance), as versões do Dossiê do Produto sob Investigação (DPI) ou Investigational Medicinal Product Dossier (IMPD), do protocolo clínico ou da emenda substancial ao protocolo clínico apresentadas à Anvisa devem ser as mesmas aprovadas por pelo menos uma das seguintes AREEs: 1- Agência Europeia de Medicamentos - European Medicines Agency (EMA) e seus países membro; 2- Agência Canadense de Saúde - Health Canada (HC); 3- Agência Suíça de Produtos Terapêuticos - Swissmedic; 4- Agência Reguladora de Medicamentos e Produtos de Saúde - Medicines and Healthcare Products Regulatory Agency (MHRA) - Reino Unido; 5- Agência Reguladora dos Estados Unidos - US Food and Drug Administration (FDA); 6- Agência Reguladora do Japão - Pharmaceuticals and Medical Devices Agency (PMDA). Parágrafo único. A exclusão ou inclusão de novas AREEs se dará por meio de decisão da Diretoria Colegiada da Anvisa (DICOL).</x:v>
      </x:c>
      <x:c r="L4" s="21" t="str"/>
      <x:c r="M4" s="21" t="str"/>
      <x:c r="N4" s="21" t="str"/>
      <x:c r="O4" s="21" t="str"/>
      <x:c r="P4" s="21" t="str"/>
      <x:c r="Q4" s="22" t="str"/>
      <x:c r="R4" s="22" t="str"/>
      <x:c r="S4" s="22" t="str"/>
    </x:row>
    <x:row r="5" ht="88.5" customHeight="1">
      <x:c r="A5" s="23" t="n">
        <x:v>4</x:v>
      </x:c>
      <x:c r="B5" s="23" t="str">
        <x:v>DIRECT_54</x:v>
      </x:c>
      <x:c r="C5" s="23" t="str">
        <x:v>Direct</x:v>
      </x:c>
      <x:c r="D5" s="23" t="str">
        <x:v>direct_article</x:v>
      </x:c>
      <x:c r="E5" s="23" t="str">
        <x:v>Yes</x:v>
      </x:c>
      <x:c r="F5" s="22" t="str">
        <x:v>Quais documentos podem ser submetidos ao procedimento otimizado de análise baseado em confiança regulatória (Reliance), conforme o Art. 6º?</x:v>
      </x:c>
      <x:c r="G5" s="22" t="str">
        <x:v>Podem ser submetidos: a Brochura do Investigador (BI) (exceto para ensaios complexos, vacinas e biossimilares), o Dossiê do Insumo Farmacêutico Ativo (IFA), o Dossiê do Produto sob Investigação (DPI) ou IMPD, e o protocolo do ensaio clínico (exceto para ensaios complexos, vacinas e biossimilares).</x:v>
      </x:c>
      <x:c r="H5" s="22" t="str">
        <x:v>Which documents may be submitted to the optimized analysis procedure based on regulatory reliance, according to Art. 6?</x:v>
      </x:c>
      <x:c r="I5" s="22" t="str">
        <x:v>The following may be submitted: the Investigator's Brochure (IB) (except for complex clinical trials, prophylactic and therapeutic vaccines, and biosimilar products), the Active Pharmaceutical Ingredient (API) Dossier, the Investigational Medicinal Product Dossier (IMPD) or Dossiê do Produto sob Investigação (DPI), and the clinical trial protocol (except for complex clinical trials, prophylactic and therapeutic vaccines, and biosimilar products).</x:v>
      </x:c>
      <x:c r="J5" s="22" t="str">
        <x:v>IN 338/2024, Art. 6</x:v>
      </x:c>
      <x:c r="K5" s="22" t="str">
        <x:v>Art. 6º. Dentre os documentos exigidos para a instrução de cada tipo de petição, nos termos da Resolução da Diretoria Colegiada - RDC nº 945, de 29 de novembro de 2024 , aos documentos listados a seguir poderá ser aplicado o procedimento otimizado de análise com base em práticas de confiança regulatória (Reliance): I - brochura do Investigador (BI), exceto quando se tratar de ensaio clínico complexo, vacinas profiláticas e terapêuticas e produtos biossimilares; II - o Dossiê do Insumo Farmacêutico Ativo (IFA) e do Produto sob Investigação (DPI) ou Investigational Medicinal Product Dossier (IMPD); III - o protocolo do ensaio clínico, exceto quando se tratar de ensaio clínico complexo, vacinas profiláticas e terapêuticas e produtos biossimilares.</x:v>
      </x:c>
      <x:c r="L5" s="21" t="str"/>
      <x:c r="M5" s="21" t="str"/>
      <x:c r="N5" s="21" t="str"/>
      <x:c r="O5" s="21" t="str"/>
      <x:c r="P5" s="21" t="str"/>
      <x:c r="Q5" s="22" t="str"/>
      <x:c r="R5" s="22" t="str"/>
      <x:c r="S5" s="22" t="str"/>
    </x:row>
    <x:row r="6" ht="88.5" customHeight="1">
      <x:c r="A6" s="23" t="n">
        <x:v>5</x:v>
      </x:c>
      <x:c r="B6" s="23" t="str">
        <x:v>UNANS_19</x:v>
      </x:c>
      <x:c r="C6" s="23" t="str">
        <x:v>Unanswerable</x:v>
      </x:c>
      <x:c r="D6" s="23" t="str">
        <x:v>unanswerable_missing_contract</x:v>
      </x:c>
      <x:c r="E6" s="23" t="str">
        <x:v>No</x:v>
      </x:c>
      <x:c r="F6" s="22" t="str">
        <x:v>Quais obrigações constam no contrato privado entre o patrocinador e o centro?</x:v>
      </x:c>
      <x:c r="G6" s="22" t="str">
        <x:v>Os documentos recuperados nao fornecem informacao suficiente para responder.</x:v>
      </x:c>
      <x:c r="H6" s="22" t="str">
        <x:v>What obligations are in the private contract between the sponsor and the site?</x:v>
      </x:c>
      <x:c r="I6" s="22" t="str">
        <x:v>The retrieved documents do not provide enough information to answer.</x:v>
      </x:c>
      <x:c r="J6" s="22" t="str"/>
      <x:c r="K6" s="22" t="str"/>
      <x:c r="L6" s="21" t="str"/>
      <x:c r="M6" s="21" t="str"/>
      <x:c r="N6" s="21" t="str"/>
      <x:c r="O6" s="21" t="str"/>
      <x:c r="P6" s="21" t="str"/>
      <x:c r="Q6" s="22" t="str"/>
      <x:c r="R6" s="22" t="str"/>
      <x:c r="S6" s="22" t="str"/>
    </x:row>
    <x:row r="7" ht="88.5" customHeight="1">
      <x:c r="A7" s="23" t="n">
        <x:v>6</x:v>
      </x:c>
      <x:c r="B7" s="23" t="str">
        <x:v>DIRECT_15</x:v>
      </x:c>
      <x:c r="C7" s="23" t="str">
        <x:v>Direct</x:v>
      </x:c>
      <x:c r="D7" s="23" t="str">
        <x:v>direct_article</x:v>
      </x:c>
      <x:c r="E7" s="23" t="str">
        <x:v>Yes</x:v>
      </x:c>
      <x:c r="F7" s="22" t="str">
        <x:v>Quais informações sobre os bancos de células mestre e de trabalho devem ser apresentadas no registro de produtos biotecnológicos?</x:v>
      </x:c>
      <x:c r="G7" s="22" t="str">
        <x:v>Devem ser apresentados: sequência do gene clonado, métodos de seleção de clones e controle de expressão, método de inserção do vetor, estabilidade genética do vetor, descrição da linhagem hospedeira, idade celular máxima in vitro, descrição do vetor de expressão, sistema de banco de células (lotes), atividades de controle de qualidade e estabilidade, e relação/frequência de testes de estabilidade.</x:v>
      </x:c>
      <x:c r="H7" s="22" t="str">
        <x:v>What information regarding master and working cell banks must be submitted for the registration of biotechnological products?</x:v>
      </x:c>
      <x:c r="I7" s="22" t="str">
        <x:v>The following must be submitted: cloned gene sequence, clone selection and expression control methods, vector insertion method, genetic stability of the vector, host cell line description, maximum in vitro cell age, expression vector description, cell bank system (batch numbers), quality control and stability activities, and the list/frequency of stability tests.</x:v>
      </x:c>
      <x:c r="J7" s="22" t="str">
        <x:v>RDC 55/2010, Art. 34</x:v>
      </x:c>
      <x:c r="K7" s="22" t="str">
        <x:v>Art. 34. Especificamente para os produtos biotecnológicos, além da documentação descrita nas Seções I e II deste Capítulo, no ato do protocolo de pedido de registro, a empresa solicitante deverá apresentar as seguintes informações: I - descrição dos bancos de células mestre e de trabalho utilizados na fabricação do produto biotecnológico, sendo obrigatória a apresentação de: a) seqüência do gene clonado; b) descrição dos métodos de seleção de clones e controle de expressão; c) descrição do método de inserção do vetor na célula; d) documentação relacionada à estabilidade genética do vetor na célula hospedeira; e) descrição da cepa/linhagem da célula hospedeira; f) determinação da idade celular máxima in vitro; g) descrição do vetor de expressão usado para o desenvolvimento do banco de células mestre; h) descrição do sistema de banco de células, identificando o número do lote do banco de célula mestre e de trabalho utilizado para a produção dos lotes clínicos e industriais; i) descrição das atividades de controle de qualidade e estabilidade durante a produção e estocagem dos bancos de células mestre e de trabalho; e j) relação e freqüência de realização dos testes utilizados para a avaliação da estabilidade dos bancos de células mestre e de trabalho; II - caracterização da substância ativa, sendo obrigatória a apresentação de: a) estrutura primária, indicando os sítios de modificações pós-traducionais; b) estruturas secundária, terciária e quaternária; c) massa molecular relativa; d) comparação entre a molécula produzida e a molécula original; e) caracterização das formas resultantes de modificações póstraducionais; f) descrição e justificativa para modificações realizadas na molécula pós-cultivo, quando aplicável; g) determinação da atividade biológica; h) determinação do grau de pureza; i) dados sobre agregados; e j) determinação das propriedades físico-químicas e imunoquímicas; III - caracterização da substância ativa no produto biológico terminado, sendo obrigatória a apresentação de: a) estruturas secundária, terciária e quaternária; b) determinação da atividade biológica; c) determinação do grau de pureza; d) dados sobre agregados; e e) determinação das propriedades físico-químicas e imunoquímicas.</x:v>
      </x:c>
      <x:c r="L7" s="21" t="str"/>
      <x:c r="M7" s="21" t="str"/>
      <x:c r="N7" s="21" t="str"/>
      <x:c r="O7" s="21" t="str"/>
      <x:c r="P7" s="21" t="str"/>
      <x:c r="Q7" s="22" t="str"/>
      <x:c r="R7" s="22" t="str"/>
      <x:c r="S7" s="22" t="str"/>
    </x:row>
    <x:row r="8" ht="88.5" customHeight="1">
      <x:c r="A8" s="23" t="n">
        <x:v>7</x:v>
      </x:c>
      <x:c r="B8" s="23" t="str">
        <x:v>DIRECT_53</x:v>
      </x:c>
      <x:c r="C8" s="23" t="str">
        <x:v>Direct</x:v>
      </x:c>
      <x:c r="D8" s="23" t="str">
        <x:v>direct_article</x:v>
      </x:c>
      <x:c r="E8" s="23" t="str">
        <x:v>Yes</x:v>
      </x:c>
      <x:c r="F8" s="22" t="str">
        <x:v>Qual é o procedimento caso os critérios para a análise baseada em confiança regulatória (Reliance) não sejam atendidos?</x:v>
      </x:c>
      <x:c r="G8" s="22" t="str">
        <x:v>O status da petição será atualizado para "Não Anuído", será realizada a análise integral de todos os documentos vinculados à petição conforme a RDC nº 945/2024 e será enviado um ofício à empresa com a justificativa.</x:v>
      </x:c>
      <x:c r="H8" s="22" t="str">
        <x:v>What is the procedure if the criteria for analysis based on regulatory reliance are not met?</x:v>
      </x:c>
      <x:c r="I8" s="22" t="str">
        <x:v>The petition status will be updated to "Not Approved" (Não Anuído), a full analysis of all documents linked to the petition will be conducted according to RDC No. 945/2024, and an official letter with the justification will be sent to the company.</x:v>
      </x:c>
      <x:c r="J8" s="22" t="str">
        <x:v>IN 338/2024, Art. 7</x:v>
      </x:c>
      <x:c r="K8" s="22" t="str">
        <x:v>Art. 7º° A solicitação da aplicação do procedimento otimizado de análise com base em práticas de confiança regulatória (Reliance) poderá ser peticionada pelo patrocinador a qualquer momento, por meio de petição secundária, antes de iniciada a análise da petição correspondente. §1° Se cumpridos os critérios para a aplicação do procedimento otimizado de análise com base em práticas de confiança regulatória (Reliance), o status da petição secundária da solicitação será atualizado para "Anuído". §2° No caso de não cumprimento dos critérios para a aplicação do procedimento otimizado de análise, com base em práticas de confiança regulatória (Reliance), o status da petição secundária da solicitação será atualizado para "Não Anuído" e será realizada a análise integral de todos os documentos vinculados à petição, conforme descritos na Resolução da Diretoria Colegiada Anvisa nº 945/2024 . (Redação dada pela Instrução Normativa - IN nº 345, de 20/02/2025 ) Redações Anteriores §3° Na hipótese do §2º, será enviado ofício à empresa com a respectiva justificativa.</x:v>
      </x:c>
      <x:c r="L8" s="21" t="str"/>
      <x:c r="M8" s="21" t="str"/>
      <x:c r="N8" s="21" t="str"/>
      <x:c r="O8" s="21" t="str"/>
      <x:c r="P8" s="21" t="str"/>
      <x:c r="Q8" s="22" t="str"/>
      <x:c r="R8" s="22" t="str"/>
      <x:c r="S8" s="22" t="str"/>
    </x:row>
    <x:row r="9" ht="88.5" customHeight="1">
      <x:c r="A9" s="23" t="n">
        <x:v>8</x:v>
      </x:c>
      <x:c r="B9" s="23" t="str">
        <x:v>DIRECT_60</x:v>
      </x:c>
      <x:c r="C9" s="23" t="str">
        <x:v>Direct</x:v>
      </x:c>
      <x:c r="D9" s="23" t="str">
        <x:v>direct_article</x:v>
      </x:c>
      <x:c r="E9" s="23" t="str">
        <x:v>Yes</x:v>
      </x:c>
      <x:c r="F9" s="22" t="str">
        <x:v>Qual é o prazo para a protocolização do relatório final de um ensaio clínico junto à Anvisa?</x:v>
      </x:c>
      <x:c r="G9" s="22" t="str">
        <x:v>O relatório final deve ser protocolizado em até 12 meses da data de término do ensaio clínico.</x:v>
      </x:c>
      <x:c r="H9" s="22" t="str">
        <x:v>What is the deadline for filing the final clinical trial report with Anvisa?</x:v>
      </x:c>
      <x:c r="I9" s="22" t="str">
        <x:v>The final report must be filed within 12 months from the clinical trial completion date.</x:v>
      </x:c>
      <x:c r="J9" s="22" t="str">
        <x:v>RDC 945/2024, Art. 74</x:v>
      </x:c>
      <x:c r="K9" s="22" t="str">
        <x:v>Art. 74. Após a conclusão das atividades de um ensaio clínico em todos os países participantes, por quaisquer razões, o patrocinador deve submeter à Anvisa um relatório final contendo, minimamente, as seguintes informações: I - título do ensaio clínico e código do protocolo; II - status final de recrutamento e discriminação do número de participantes recrutados por centro no Brasil e no mundo; III - número final de centros no Brasil e no mundo; e VI- número final de EAGs por participante e por centro no Brasil, incluindo a descrição dos EAGs relacionados ao medicamento experimental ou comparador, RAMs, SUSARs e se houve quebra ou não do caráter cego; VIII - motivo para encerramento do estudo e racional para o término prematuro do desenvolvimento no Brasil ou no mundo, quando aplicável. § 1º O relatório final de protocolo de ensaio clínico deve ser submetido à Anvisa na forma de petição secundária anexada ao processo do respectivo protocolo ao qual está vinculado. § 2º O relatório final deve ser protocolizado em até 12 (doze) meses da data de término do ensaio clínico. § 3º No ano em que for protocolizado o relatório final, pode ser dispensado o relatório anual.</x:v>
      </x:c>
      <x:c r="L9" s="21" t="str"/>
      <x:c r="M9" s="21" t="str"/>
      <x:c r="N9" s="21" t="str"/>
      <x:c r="O9" s="21" t="str"/>
      <x:c r="P9" s="21" t="str"/>
      <x:c r="Q9" s="22" t="str"/>
      <x:c r="R9" s="22" t="str"/>
      <x:c r="S9" s="22" t="str"/>
    </x:row>
    <x:row r="10" ht="88.5" customHeight="1">
      <x:c r="A10" s="23" t="n">
        <x:v>9</x:v>
      </x:c>
      <x:c r="B10" s="23" t="str">
        <x:v>DIRECT_57</x:v>
      </x:c>
      <x:c r="C10" s="23" t="str">
        <x:v>Direct</x:v>
      </x:c>
      <x:c r="D10" s="23" t="str">
        <x:v>direct_article</x:v>
      </x:c>
      <x:c r="E10" s="23" t="str">
        <x:v>Yes</x:v>
      </x:c>
      <x:c r="F10" s="22" t="str">
        <x:v>Qual é o prazo para a entrada em vigor da Instrução Normativa 338/2024 após sua publicação?</x:v>
      </x:c>
      <x:c r="G10" s="22" t="str">
        <x:v>A Instrução Normativa entra em vigor 30 dias após a data de sua publicação.</x:v>
      </x:c>
      <x:c r="H10" s="22" t="str">
        <x:v>What is the deadline for the entry into force of Normative Instruction 338/2024 after its publication?</x:v>
      </x:c>
      <x:c r="I10" s="22" t="str">
        <x:v>The Normative Instruction enters into force 30 days after its publication date.</x:v>
      </x:c>
      <x:c r="J10" s="22" t="str">
        <x:v>IN 338/2024, Art. 12</x:v>
      </x:c>
      <x:c r="K10" s="22" t="str">
        <x:v>Art. 12. Esta Instrução Normativa entra em vigor 30 dias após a data de sua publicação. ANTONIO BARRA TORRES Diretor-Presidente PUB D.O.U., 02/12/2024 - Seção 1 Este texto não substitui a Publicação Oficial. Carregando...</x:v>
      </x:c>
      <x:c r="L10" s="21" t="str"/>
      <x:c r="M10" s="21" t="str"/>
      <x:c r="N10" s="21" t="str"/>
      <x:c r="O10" s="21" t="str"/>
      <x:c r="P10" s="21" t="str"/>
      <x:c r="Q10" s="22" t="str"/>
      <x:c r="R10" s="22" t="str"/>
      <x:c r="S10" s="22" t="str"/>
    </x:row>
    <x:row r="11" ht="88.5" customHeight="1">
      <x:c r="A11" s="23" t="n">
        <x:v>10</x:v>
      </x:c>
      <x:c r="B11" s="23" t="str">
        <x:v>UNANS_13</x:v>
      </x:c>
      <x:c r="C11" s="23" t="str">
        <x:v>Unanswerable</x:v>
      </x:c>
      <x:c r="D11" s="23" t="str">
        <x:v>unanswerable_legal_opinion</x:v>
      </x:c>
      <x:c r="E11" s="23" t="str">
        <x:v>No</x:v>
      </x:c>
      <x:c r="F11" s="22" t="str">
        <x:v>Esta empresa deve processar a Anvisa por atrasar uma análise?</x:v>
      </x:c>
      <x:c r="G11" s="22" t="str">
        <x:v>Os documentos recuperados nao fornecem informacao suficiente para responder.</x:v>
      </x:c>
      <x:c r="H11" s="22" t="str">
        <x:v>Should this company sue Anvisa for delaying a review?</x:v>
      </x:c>
      <x:c r="I11" s="22" t="str">
        <x:v>The retrieved documents do not provide enough information to answer.</x:v>
      </x:c>
      <x:c r="J11" s="22" t="str"/>
      <x:c r="K11" s="22" t="str"/>
      <x:c r="L11" s="21" t="str"/>
      <x:c r="M11" s="21" t="str"/>
      <x:c r="N11" s="21" t="str"/>
      <x:c r="O11" s="21" t="str"/>
      <x:c r="P11" s="21" t="str"/>
      <x:c r="Q11" s="22" t="str"/>
      <x:c r="R11" s="22" t="str"/>
      <x:c r="S11" s="22" t="str"/>
    </x:row>
    <x:row r="12" ht="88.5" customHeight="1">
      <x:c r="A12" s="23" t="n">
        <x:v>11</x:v>
      </x:c>
      <x:c r="B12" s="23" t="str">
        <x:v>DIRECT_61</x:v>
      </x:c>
      <x:c r="C12" s="23" t="str">
        <x:v>Direct</x:v>
      </x:c>
      <x:c r="D12" s="23" t="str">
        <x:v>direct_article</x:v>
      </x:c>
      <x:c r="E12" s="23" t="str">
        <x:v>Yes</x:v>
      </x:c>
      <x:c r="F12" s="22" t="str">
        <x:v>Qual é o prazo para a Anvisa avaliar petições de DDCM e DEEC e o que ocorre caso não haja manifestação nesse período?</x:v>
      </x:c>
      <x:c r="G12" s="22" t="str">
        <x:v>A Anvisa tem até 90 dias úteis para avaliar as petições. Caso não haja manifestação, o DDCM e o DEEC são liberados por decurso de prazo, mediante publicação de Resolução-RE no DOU, permitindo o início do desenvolvimento clínico após as aprovações éticas.</x:v>
      </x:c>
      <x:c r="H12" s="22" t="str">
        <x:v>What is the deadline for Anvisa to evaluate DDCM and DEEC petitions, and what happens if there is no response within that period?</x:v>
      </x:c>
      <x:c r="I12" s="22" t="str">
        <x:v>Anvisa has up to 90 business days to evaluate the petitions. If there is no response, the DDCM and DEEC are released by expiration of the deadline, via publication of a Resolution-RE in the DOU, allowing clinical development to begin after pertinent ethical approvals.</x:v>
      </x:c>
      <x:c r="J12" s="22" t="str">
        <x:v>RDC 945/2024, Art. 52</x:v>
      </x:c>
      <x:c r="K12" s="22" t="str">
        <x:v>Art. 52. Após o regular recebimento das petições primárias de DDCM e do DEEC, a Anvisa as avaliará em até 90 (noventa) dias úteis, a contar da data de emissão do expediente do DEEC. § 1° Caso não haja manifestação da Anvisa no prazo previsto no caput, o DDCM e respectivo DEEC serão liberados por decurso de prazo, por meio de Resolução-RE publicada no Diário Oficial da União (DOU), e o desenvolvimento clínico poderá ser iniciado após as aprovações éticas pertinentes. § 2° O descrito no §1° também se aplica às petições primárias de novos DEECs vinculados posteriormente ao DDCM e às petições secundárias de modificações substanciais ao produto sob investigação e de emendas substanciais ao protocolo clínico. § 3° As modificações substanciais ao produto sob investigação e emendas substanciais ao protocolo clínico oriundas de recomendações ou alertas de segurança emitidos por autoridades sanitárias que visam eliminar riscos imediatos à segurança dos participantes do ensaio clínico deverão ser peticionadas, antes de serem implementadas e poderão ser implementadas, independente da manifestação prévia da Anvisa.</x:v>
      </x:c>
      <x:c r="L12" s="21" t="str"/>
      <x:c r="M12" s="21" t="str"/>
      <x:c r="N12" s="21" t="str"/>
      <x:c r="O12" s="21" t="str"/>
      <x:c r="P12" s="21" t="str"/>
      <x:c r="Q12" s="22" t="str"/>
      <x:c r="R12" s="22" t="str"/>
      <x:c r="S12" s="22" t="str"/>
    </x:row>
    <x:row r="13" ht="88.5" customHeight="1">
      <x:c r="A13" s="23" t="n">
        <x:v>12</x:v>
      </x:c>
      <x:c r="B13" s="23" t="str">
        <x:v>DIRECT_68</x:v>
      </x:c>
      <x:c r="C13" s="23" t="str">
        <x:v>Direct</x:v>
      </x:c>
      <x:c r="D13" s="23" t="str">
        <x:v>direct_article</x:v>
      </x:c>
      <x:c r="E13" s="23" t="str">
        <x:v>Yes</x:v>
      </x:c>
      <x:c r="F13" s="22" t="str">
        <x:v>Quais medidas a Anvisa pode determinar caso uma inspeção de BPC identifique não conformidades em um ensaio clínico?</x:v>
      </x:c>
      <x:c r="G13" s="22" t="str">
        <x:v>A Anvisa pode determinar: a suspensão temporária do ensaio clínico; o cancelamento definitivo do ensaio clínico no centro em questão ou em todos os centros no Brasil; a invalidação dos dados provenientes dos centros, patrocinadores, ORPCs e ensaios clínicos não conformes; a suspensão temporária das atividades do centro, patrocinador ou ORPC; ou o cancelamento definitivo de ensaios clínicos conduzidos por patrocinador/ORPC.</x:v>
      </x:c>
      <x:c r="H13" s="22" t="str">
        <x:v>What measures can Anvisa determine if a GCP inspection identifies non-compliance in a clinical trial?</x:v>
      </x:c>
      <x:c r="I13" s="22" t="str">
        <x:v>Anvisa may determine: temporary suspension of the clinical trial; definitive cancellation of the clinical trial at the specific center or at all centers in Brazil; invalidation of data from centers, sponsors, CROs, and clinical trials not in compliance with GCP; temporary suspension of the activities of the center, sponsor, or CRO; or definitive cancellation of clinical trials conducted by the sponsor/CRO.</x:v>
      </x:c>
      <x:c r="J13" s="22" t="str">
        <x:v>RDC 945/2024, Art. 78</x:v>
      </x:c>
      <x:c r="K13" s="22" t="str">
        <x:v>Art. 78. Dependendo do resultado da inspeção de BPC, a Anvisa poderá determinar: I - a suspensão temporária do ensaio clínico; II - o cancelamento definitivo do ensaio clínico no centro em questão; III - o cancelamento definitivo do ensaio clínico em todos os centros no Brasil; IV - a invalidação dos dados provenientes dos centros, patrocinadores, ORPCs e ensaios clínicos que não estão em conformidade com as BPC; V - a suspensão temporária das atividades do centro, patrocinador ou ORPC relacionadas a ensaios clínicos; VI - o cancelamento definitivo do(s) ensaio(s) clínico(s) conduzidos por patrocinador/ORPC. § 1º Para fins do descrito no caput, o patrocinador será notificado e a Anvisa poderá abrir processo administrativo ou de investigação, de acordo com a legislação vigente.</x:v>
      </x:c>
      <x:c r="L13" s="21" t="str"/>
      <x:c r="M13" s="21" t="str"/>
      <x:c r="N13" s="21" t="str"/>
      <x:c r="O13" s="21" t="str"/>
      <x:c r="P13" s="21" t="str"/>
      <x:c r="Q13" s="22" t="str"/>
      <x:c r="R13" s="22" t="str"/>
      <x:c r="S13" s="22" t="str"/>
    </x:row>
    <x:row r="14" ht="88.5" customHeight="1">
      <x:c r="A14" s="23" t="n">
        <x:v>13</x:v>
      </x:c>
      <x:c r="B14" s="23" t="str">
        <x:v>DIRECT_46</x:v>
      </x:c>
      <x:c r="C14" s="23" t="str">
        <x:v>Direct</x:v>
      </x:c>
      <x:c r="D14" s="23" t="str">
        <x:v>direct_article</x:v>
      </x:c>
      <x:c r="E14" s="23" t="str">
        <x:v>Yes</x:v>
      </x:c>
      <x:c r="F14" s="22" t="str">
        <x:v>Onde deve estar localizado o Sistema de Farmacovigilância e sob qual condição elementos desse sistema podem ser desenvolvidos no exterior?</x:v>
      </x:c>
      <x:c r="G14" s="22" t="str">
        <x:v>O sistema deve localizar-se em território nacional, sendo permitido o desenvolvimento de elementos no exterior desde que não haja comprometimento da capacidade operativa de monitoramento e identificação de problemas ocorridos no Brasil.</x:v>
      </x:c>
      <x:c r="H14" s="22" t="str">
        <x:v>Where must the Pharmacovigilance System be located and under what condition can elements of this system be developed abroad?</x:v>
      </x:c>
      <x:c r="I14" s="22" t="str">
        <x:v>The system must be located in the national territory, and it is permitted to develop elements abroad provided there is no compromise to the operational capacity for monitoring and identifying problems occurring within the national territory.</x:v>
      </x:c>
      <x:c r="J14" s="22" t="str">
        <x:v>RDC 406/2020, Art. 12</x:v>
      </x:c>
      <x:c r="K14" s="22" t="str">
        <x:v>Art. 12. O Sistema de Farmacovigilância dos Detentores de Registro de Medicamento deve localizar-se em território nacional. Parágrafo único. É permitido que elementos e processos do Sistema de Farmacovigilância sejam desenvolvidos em outros países, desde que não haja comprometimento da capacidade operativa de monitoramento e identificação de problemas relacionados a seus produtos, ocorridos em território nacional.</x:v>
      </x:c>
      <x:c r="L14" s="21" t="str"/>
      <x:c r="M14" s="21" t="str"/>
      <x:c r="N14" s="21" t="str"/>
      <x:c r="O14" s="21" t="str"/>
      <x:c r="P14" s="21" t="str"/>
      <x:c r="Q14" s="22" t="str"/>
      <x:c r="R14" s="22" t="str"/>
      <x:c r="S14" s="22" t="str"/>
    </x:row>
    <x:row r="15" ht="88.5" customHeight="1">
      <x:c r="A15" s="23" t="n">
        <x:v>14</x:v>
      </x:c>
      <x:c r="B15" s="23" t="str">
        <x:v>DIRECT_03</x:v>
      </x:c>
      <x:c r="C15" s="23" t="str">
        <x:v>Direct</x:v>
      </x:c>
      <x:c r="D15" s="23" t="str">
        <x:v>direct_article</x:v>
      </x:c>
      <x:c r="E15" s="23" t="str">
        <x:v>Yes</x:v>
      </x:c>
      <x:c r="F15" s="22" t="str">
        <x:v>Quais são as exigências para o cancelamento ou suspensão de um DDCM ou ensaio clínico pelo patrocinador?</x:v>
      </x:c>
      <x:c r="G15" s="22" t="str">
        <x:v>O patrocinador deve encaminhar justificativas técnico-científicas e um plano de acompanhamento dos participantes. Se o motivo for segurança, deve apresentar medidas de minimização/mitigação de risco. A solicitação deve ser feita via petição secundária.</x:v>
      </x:c>
      <x:c r="H15" s="22" t="str">
        <x:v>What are the requirements for the cancellation or suspension of a DDCM or clinical trial by the sponsor?</x:v>
      </x:c>
      <x:c r="I15" s="22" t="str">
        <x:v>The sponsor must submit technical-scientific justifications and a follow-up plan for participants. If the reason is safety, it must present risk minimization/mitigation measures. The request must be submitted via secondary petition.</x:v>
      </x:c>
      <x:c r="J15" s="22" t="str">
        <x:v>RDC 9/2015, Art. 50</x:v>
      </x:c>
      <x:c r="K15" s="22" t="str">
        <x:v>Art. 50 . O patrocina dor pode cancelar ou suspender um DDCM ou ensaio clínico a qualquer momento, desde que encaminhadas as devidas justificativas técnico -científicas, bem como um plano de acompanhamento dos participantes do (s) ensaio (s) clínico (s) já iniciado (s). §1º Uma vez cancelado um DDCM, nenhum ensaio clínico , relacionado a ele, poderá ser continuado no País. §2º Caso um DDCM ou ensaio clínico seja cancelado por motivos de segurança, o patrocinador deve justificar técnic a e cientificamente as razões para o cancelamento e apresentar as medidas para minimização/mitigação de r isco aos participantes do (s) ensaio (s) clínico (s). §3º As suspensões e cancelamentos de ensaio clínico ou de DDCM devem ser submetidas à Anvisa na forma de petição secundária anexada ao respectivo processo.</x:v>
      </x:c>
      <x:c r="L15" s="21" t="str"/>
      <x:c r="M15" s="21" t="str"/>
      <x:c r="N15" s="21" t="str"/>
      <x:c r="O15" s="21" t="str"/>
      <x:c r="P15" s="21" t="str"/>
      <x:c r="Q15" s="22" t="str"/>
      <x:c r="R15" s="22" t="str"/>
      <x:c r="S15" s="22" t="str"/>
    </x:row>
    <x:row r="16" ht="88.5" customHeight="1">
      <x:c r="A16" s="23" t="n">
        <x:v>15</x:v>
      </x:c>
      <x:c r="B16" s="23" t="str">
        <x:v>DIRECT_62</x:v>
      </x:c>
      <x:c r="C16" s="23" t="str">
        <x:v>Direct</x:v>
      </x:c>
      <x:c r="D16" s="23" t="str">
        <x:v>direct_article</x:v>
      </x:c>
      <x:c r="E16" s="23" t="str">
        <x:v>Yes</x:v>
      </x:c>
      <x:c r="F16" s="22" t="str">
        <x:v>Quais são as condições que permitem à Anvisa suspender ou cancelar um DDCM ou ensaio clínico?</x:v>
      </x:c>
      <x:c r="G16" s="22" t="str">
        <x:v>A Anvisa pode suspender ou cancelar quando: as condições de aprovação não forem atendidas; houver relatos de segurança, qualidade ou eficácia que afetem participantes ou a robustez dos dados; participantes forem expostos a riscos significativos e não razoáveis; ou o patrocinador infringir regras da Resolução ou descumprir BPCs e BPF.</x:v>
      </x:c>
      <x:c r="H16" s="22" t="str">
        <x:v>What conditions allow Anvisa to suspend or cancel a DDCM or clinical trial?</x:v>
      </x:c>
      <x:c r="I16" s="22" t="str">
        <x:v>Anvisa may suspend or cancel when: approval conditions are not met; there are safety, quality, or efficacy reports affecting participants or data robustness; participants are exposed to significant and unreasonable risks; or the sponsor infringes the Resolution's rules or fails to comply with GCP and GMP.</x:v>
      </x:c>
      <x:c r="J16" s="22" t="str">
        <x:v>RDC 945/2024, Art. 87</x:v>
      </x:c>
      <x:c r="K16" s="22" t="str">
        <x:v>Art. 87. A Anvisa poderá, a qualquer momento, cancelar ou suspender o DDCM ou qualquer ensaio clínico vinculado ou petições secundárias relacionadas, quando: § 1º Julgar que as condições de aprovação não foram atendidas ou se houver relatos de segurança, qualidade ou eficácia que afetem significativamente os participantes do ensaio clínico ou afetem a confiabilidade ou robustez dos dados obtidos com no ensaio clínico. § 2º Os participantes estiverem sendo expostos a riscos significativos e não razoáveis. § 3º O patrocinador infringir as regras descritas nesta Resolução ou se descumprir com os princípios de Boas Práticas Clínicas (BPCs) e BPF do medicamento experimental; e § 4º Para cumprimento do disposto no caput, a Anvisa notificará o patrocinador sobre a suspensão ou cancelamento de DDCM ou ensaio clínico e abrirá um processo administrativo e/ou investigatório, de acordo com a legislação vigente, quando aplicável.</x:v>
      </x:c>
      <x:c r="L16" s="21" t="str"/>
      <x:c r="M16" s="21" t="str"/>
      <x:c r="N16" s="21" t="str"/>
      <x:c r="O16" s="21" t="str"/>
      <x:c r="P16" s="21" t="str"/>
      <x:c r="Q16" s="22" t="str"/>
      <x:c r="R16" s="22" t="str"/>
      <x:c r="S16" s="22" t="str"/>
    </x:row>
    <x:row r="17" ht="88.5" customHeight="1">
      <x:c r="A17" s="23" t="n">
        <x:v>16</x:v>
      </x:c>
      <x:c r="B17" s="23" t="str">
        <x:v>DIRECT_09</x:v>
      </x:c>
      <x:c r="C17" s="23" t="str">
        <x:v>Direct</x:v>
      </x:c>
      <x:c r="D17" s="23" t="str">
        <x:v>direct_article</x:v>
      </x:c>
      <x:c r="E17" s="23" t="str">
        <x:v>Yes</x:v>
      </x:c>
      <x:c r="F17" s="22" t="str">
        <x:v>Quais são os requisitos para a documentação protocolizada manualmente junto à Anvisa?</x:v>
      </x:c>
      <x:c r="G17" s="22" t="str">
        <x:v>Deve estar acompanhada de uma cópia em mídia eletrônica (arquivo pdf ou word) que permita busca textual.</x:v>
      </x:c>
      <x:c r="H17" s="22" t="str">
        <x:v>What are the requirements for documentation submitted manually to Anvisa?</x:v>
      </x:c>
      <x:c r="I17" s="22" t="str">
        <x:v>It must be accompanied by a copy on electronic media (pdf or word file) that allows for textual search.</x:v>
      </x:c>
      <x:c r="J17" s="22" t="str">
        <x:v>RDC 9/2015, Art. 39</x:v>
      </x:c>
      <x:c r="K17" s="22" t="str">
        <x:v>Art. 39 . Toda documentação protocolizada manualmente, incluindo cumprimento de exigências, deve estar acompanhada de uma cópia em mídia eletrônica (arquivo pdf ou word). §1º Os documentos eletrônicos devem permitir busca textual. §2º A submissão de mídia eletrônica se aplica até a adoção pela Anvisa de ferramentas de tecnologia da informação que permitam a submissão eletrônica dos documentos solicitados.</x:v>
      </x:c>
      <x:c r="L17" s="21" t="str"/>
      <x:c r="M17" s="21" t="str"/>
      <x:c r="N17" s="21" t="str"/>
      <x:c r="O17" s="21" t="str"/>
      <x:c r="P17" s="21" t="str"/>
      <x:c r="Q17" s="22" t="str"/>
      <x:c r="R17" s="22" t="str"/>
      <x:c r="S17" s="22" t="str"/>
    </x:row>
    <x:row r="18" ht="88.5" customHeight="1">
      <x:c r="A18" s="23" t="n">
        <x:v>17</x:v>
      </x:c>
      <x:c r="B18" s="23" t="str">
        <x:v>DIRECT_10</x:v>
      </x:c>
      <x:c r="C18" s="23" t="str">
        <x:v>Direct</x:v>
      </x:c>
      <x:c r="D18" s="23" t="str">
        <x:v>direct_article</x:v>
      </x:c>
      <x:c r="E18" s="23" t="str">
        <x:v>Yes</x:v>
      </x:c>
      <x:c r="F18" s="22" t="str">
        <x:v>Qual é a condição necessária para que o patrocinador submeta um DDCM à Anvisa?</x:v>
      </x:c>
      <x:c r="G18" s="22" t="str">
        <x:v>O patrocinador deve submeter o DDCM somente se pretender realizar ensaios clínicos com medicamentos em território nacional, devendo protocolizar pelo menos um dossiê específico de ensaio clínico.</x:v>
      </x:c>
      <x:c r="H18" s="22" t="str">
        <x:v>What is the necessary condition for a sponsor to submit a DDCM to Anvisa?</x:v>
      </x:c>
      <x:c r="I18" s="22" t="str">
        <x:v>The sponsor must submit the DDCM only if they intend to conduct clinical trials with drugs in the national territory, and must file at least one specific clinical trial dossier.</x:v>
      </x:c>
      <x:c r="J18" s="22" t="str">
        <x:v>RDC 9/2015, Art. 34</x:v>
      </x:c>
      <x:c r="K18" s="22" t="str">
        <x:v>Art. 34 . O patrocinador deve submeter um DDCM à Anvisa somente no caso em que pretenda realizar ensaios clínicos com medicamentos em território nacional. Parágrafo único. Para fins de análise do DDCM, deve ser protocolizado pelo menos um dossiê específico de ensaio clínico a ser realizado no Brasil.</x:v>
      </x:c>
      <x:c r="L18" s="21" t="str"/>
      <x:c r="M18" s="21" t="str"/>
      <x:c r="N18" s="21" t="str"/>
      <x:c r="O18" s="21" t="str"/>
      <x:c r="P18" s="21" t="str"/>
      <x:c r="Q18" s="22" t="str"/>
      <x:c r="R18" s="22" t="str"/>
      <x:c r="S18" s="22" t="str"/>
    </x:row>
    <x:row r="19" ht="88.5" customHeight="1">
      <x:c r="A19" s="23" t="n">
        <x:v>18</x:v>
      </x:c>
      <x:c r="B19" s="23" t="str">
        <x:v>DIRECT_23</x:v>
      </x:c>
      <x:c r="C19" s="23" t="str">
        <x:v>Direct</x:v>
      </x:c>
      <x:c r="D19" s="23" t="str">
        <x:v>direct_article</x:v>
      </x:c>
      <x:c r="E19" s="23" t="str">
        <x:v>Yes</x:v>
      </x:c>
      <x:c r="F19" s="22" t="str">
        <x:v>A quem a empresa solicitante pode recorrer para discutir aspectos do desenvolvimento de um produto biológico antes da submissão do registro?</x:v>
      </x:c>
      <x:c r="G19" s="22" t="str">
        <x:v>A empresa pode contatar a Coordenação de Produtos Biológicos (CPBIH), utilizando os mecanismos disponíveis na Agência.</x:v>
      </x:c>
      <x:c r="H19" s="22" t="str">
        <x:v>Who can the applicant company contact to discuss aspects of a biological product's development before submitting the registration?</x:v>
      </x:c>
      <x:c r="I19" s="22" t="str">
        <x:v>The company may contact the Coordination of Biological Products (CPBIH), using the mechanisms available at the Agency.</x:v>
      </x:c>
      <x:c r="J19" s="22" t="str">
        <x:v>RDC 55/2010, Art. 49</x:v>
      </x:c>
      <x:c r="K19" s="22" t="str">
        <x:v>Art. 49. A empresa solicitante de registro de produto biológico poderá contatar a Coordenação de Produtos Biológicos - CPBIH para discutir aspectos relacionados ao desenvolvimento do produto, antes da submissão da documentação de registro, devendo utilizar os mecanismos disponíveis na Agência.</x:v>
      </x:c>
      <x:c r="L19" s="21" t="str"/>
      <x:c r="M19" s="21" t="str"/>
      <x:c r="N19" s="21" t="str"/>
      <x:c r="O19" s="21" t="str"/>
      <x:c r="P19" s="21" t="str"/>
      <x:c r="Q19" s="22" t="str"/>
      <x:c r="R19" s="22" t="str"/>
      <x:c r="S19" s="22" t="str"/>
    </x:row>
    <x:row r="20" ht="88.5" customHeight="1">
      <x:c r="A20" s="23" t="n">
        <x:v>19</x:v>
      </x:c>
      <x:c r="B20" s="23" t="str">
        <x:v>DIRECT_20</x:v>
      </x:c>
      <x:c r="C20" s="23" t="str">
        <x:v>Direct</x:v>
      </x:c>
      <x:c r="D20" s="23" t="str">
        <x:v>direct_article</x:v>
      </x:c>
      <x:c r="E20" s="23" t="str">
        <x:v>Yes</x:v>
      </x:c>
      <x:c r="F20" s="22" t="str">
        <x:v>Quais são as exigências para a condução de pesquisas clínicas com produtos biológicos no Brasil?</x:v>
      </x:c>
      <x:c r="G20" s="22" t="str">
        <x:v>As pesquisas clínicas devem ter autorização prévia da Anvisa, de acordo com a legislação sanitária vigente.</x:v>
      </x:c>
      <x:c r="H20" s="22" t="str">
        <x:v>What are the requirements for conducting clinical research with biological products in Brazil?</x:v>
      </x:c>
      <x:c r="I20" s="22" t="str">
        <x:v>Clinical research must have prior authorization from Anvisa, in accordance with current sanitary legislation.</x:v>
      </x:c>
      <x:c r="J20" s="22" t="str">
        <x:v>RDC 55/2010, Art. 18</x:v>
      </x:c>
      <x:c r="K20" s="22" t="str">
        <x:v>Art. 18. Todas as indicações terapêuticas solicitadas no registro, para o produto biológico novo ou produto biológico, devem estar documentalmente demonstradas nos relatórios dos estudos clínicos apensados ao dossiê de registro do produto, conforme estabelecido nesta Resolução. § 1º Os estudos clínicos devem ser conduzidos com o produto biológico novo ou produto biológico apresentado para o registro. § 2º Os estudos clínicos devem ser aprovados pela autoridade sanitária do país onde se realizou a pesquisa clínica. § 3º Todos as pesquisas clínicas conduzidas no Brasil, com produto biológico novo ou produto biológico, devem ter autorização prévia da Anvisa, de acordo com a legislação sanitária vigente.</x:v>
      </x:c>
      <x:c r="L20" s="21" t="str"/>
      <x:c r="M20" s="21" t="str"/>
      <x:c r="N20" s="21" t="str"/>
      <x:c r="O20" s="21" t="str"/>
      <x:c r="P20" s="21" t="str"/>
      <x:c r="Q20" s="22" t="str"/>
      <x:c r="R20" s="22" t="str"/>
      <x:c r="S20" s="22" t="str"/>
    </x:row>
    <x:row r="21" ht="88.5" customHeight="1">
      <x:c r="A21" s="23" t="n">
        <x:v>20</x:v>
      </x:c>
      <x:c r="B21" s="23" t="str">
        <x:v>DIRECT_11</x:v>
      </x:c>
      <x:c r="C21" s="23" t="str">
        <x:v>Direct</x:v>
      </x:c>
      <x:c r="D21" s="23" t="str">
        <x:v>direct_article</x:v>
      </x:c>
      <x:c r="E21" s="23" t="str">
        <x:v>Yes</x:v>
      </x:c>
      <x:c r="F21" s="22" t="str">
        <x:v>Quais são as obrigações do investigador caso um ensaio clínico seja suspenso ou finalizado prematuramente?</x:v>
      </x:c>
      <x:c r="G21" s="22" t="str">
        <x:v>O investigador deve informar prontamente os participantes e assegurar terapia apropriada e acompanhamento a eles.</x:v>
      </x:c>
      <x:c r="H21" s="22" t="str">
        <x:v>What are the investigator's obligations if a clinical trial is suspended or terminated prematurely?</x:v>
      </x:c>
      <x:c r="I21" s="22" t="str">
        <x:v>The investigator must promptly inform the participants and ensure appropriate therapy and follow-up for them.</x:v>
      </x:c>
      <x:c r="J21" s="22" t="str">
        <x:v>RDC 9/2015, Art. 25</x:v>
      </x:c>
      <x:c r="K21" s="22" t="str">
        <x:v>Art. 25 . O investigador deve informar prontamente os participantes do ensaio clínico quando este for finalizado prematuramente ou suspenso por qualquer motivo, além de assegurar terapia apropriada e acompanhamento aos participantes.</x:v>
      </x:c>
      <x:c r="L21" s="21" t="str"/>
      <x:c r="M21" s="21" t="str"/>
      <x:c r="N21" s="21" t="str"/>
      <x:c r="O21" s="21" t="str"/>
      <x:c r="P21" s="21" t="str"/>
      <x:c r="Q21" s="22" t="str"/>
      <x:c r="R21" s="22" t="str"/>
      <x:c r="S21" s="22" t="str"/>
    </x:row>
    <x:row r="22" ht="88.5" customHeight="1">
      <x:c r="A22" s="23" t="n">
        <x:v>21</x:v>
      </x:c>
      <x:c r="B22" s="23" t="str">
        <x:v>DIRECT_27</x:v>
      </x:c>
      <x:c r="C22" s="23" t="str">
        <x:v>Direct</x:v>
      </x:c>
      <x:c r="D22" s="23" t="str">
        <x:v>direct_article</x:v>
      </x:c>
      <x:c r="E22" s="23" t="str">
        <x:v>Yes</x:v>
      </x:c>
      <x:c r="F22" s="22" t="str">
        <x:v>Quais documentos de petição de dispositivos médicos podem ser apresentados em idiomas estrangeiros e quais devem obrigatoriamente estar em português?</x:v>
      </x:c>
      <x:c r="G22" s="22" t="str">
        <x:v>Formulários de petição, instruções de uso, manuais do usuário/operador e modelos de rotulagem devem estar em português. Os demais documentos podem ser apresentados em português, espanhol ou inglês.</x:v>
      </x:c>
      <x:c r="H22" s="22" t="str">
        <x:v>Which medical device petition documents may be submitted in foreign languages and which must be in Portuguese?</x:v>
      </x:c>
      <x:c r="I22" s="22" t="str">
        <x:v>Petition forms, instructions for use, user/operator manuals, and labeling models must be in Portuguese. Other documents may be submitted in Portuguese, Spanish, or English.</x:v>
      </x:c>
      <x:c r="J22" s="22" t="str">
        <x:v>RDC 751/2022, Art. 10</x:v>
      </x:c>
      <x:c r="K22" s="22" t="str">
        <x:v>Art. 10. O solicitante deve apresentar à Anvisa os documentos para notificação, registro, alteração, revalidação ou cancelamento de notificação ou registro do dispositivo médico, relacionados nesta Resolução. § 1º A Anvisa avaliará a documentação apresentada para registro, alteração ou revalidação do registro e se manifestará por meio oficial. § 2º A avaliação da documentação será realizada nos prazos e condições legais previstos na legislação sanitária brasileira. § 3º Por motivos técnicos, de forma a comprovar a segurança e o desempenho do produto, em razão de potencial risco à saúde pública, a Anvisa poderá determinar a apresentação de documentos e informações adicionais. § 4º Não será passível de exigência técnica a petição com ausência de documentos, formulários e declarações, previstos na relação de documentos de instrução processual, preenchidos de forma incompleta ou com informações faltantes ou ilegíveis, ou obsoletos, sem certificado de conformidade quando aplicável, ou sem evidências clínicas para produtos com tecnologia ou indicação inovadora, ensejando a não anuência ou o indeferimento sumário da petição. § 5º Não haverá análise técnica das petições de notificação e de alteração de notificação para que os produtos sejam considerados regularizados, sem prejuízo da realização, a qualquer tempo, de avaliações documentais ou fiscais sobre os processos de notificação e suas alterações, e, caso necessário, da solicitação de informações ou esclarecimentos adicionais. § 6º O processamento da notificação de dispositivo médico ocorrerá rotineiramente em até 30 (trinta) dias após o protocolo pelo solicitante. § 7º A manutenção da notificação e do registro fica vinculada ao cumprimento dos requisitos das Boas Práticas de Fabricação, dos requisitos essenciais de segurança e desempenho e dos regulamentos específicos, quando existirem. § 8º O deferimento do registro fica condicionado à publicação do Certificado de Boas Práticas de Fabricação emitido pela Anvisa. § 9º Os formulários de petição, instruções de uso ou manuais do usuário/operador e modelos de rotulagem devem ser apresentados no idioma português. § 10. Os demais documentos, não citados no parágrafo anterior, que compõem as petições de dispositivos médicos podem ser apresentados nos idiomas português, espanhol ou inglês, conforme regras definidas em regulamento específico.</x:v>
      </x:c>
      <x:c r="L22" s="21" t="str"/>
      <x:c r="M22" s="21" t="str"/>
      <x:c r="N22" s="21" t="str"/>
      <x:c r="O22" s="21" t="str"/>
      <x:c r="P22" s="21" t="str"/>
      <x:c r="Q22" s="22" t="str"/>
      <x:c r="R22" s="22" t="str"/>
      <x:c r="S22" s="22" t="str"/>
    </x:row>
    <x:row r="23" ht="88.5" customHeight="1">
      <x:c r="A23" s="23" t="n">
        <x:v>22</x:v>
      </x:c>
      <x:c r="B23" s="23" t="str">
        <x:v>COMPLEX_03</x:v>
      </x:c>
      <x:c r="C23" s="23" t="str">
        <x:v>Complex</x:v>
      </x:c>
      <x:c r="D23" s="23" t="str">
        <x:v>exception</x:v>
      </x:c>
      <x:c r="E23" s="23" t="str">
        <x:v>Yes</x:v>
      </x:c>
      <x:c r="F23" s="22" t="str">
        <x:v>Como a RDC 751/2022 define 'dispositivo médico' e quais são as três categorias de alteração de informações no processo de registro?</x:v>
      </x:c>
      <x:c r="G23" s="22" t="str">
        <x:v>Dispositivo médico é qualquer instrumento, aparelho, equipamento, implante, software ou material destinado pelo fabricante a ser usado em seres humanos para fins médicos específicos (diagnóstico, prevenção, tratamento, etc.), cuja ação principal não seja farmacológica, imunológica ou metabólica. As categorias de alteração são: alteração de aprovação requerida, alteração de implementação imediata e alteração não reportável.</x:v>
      </x:c>
      <x:c r="H23" s="22" t="str">
        <x:v>How does RDC 751/2022 define 'medical device' and what are the three categories of information changes in the registration process?</x:v>
      </x:c>
      <x:c r="I23" s="22" t="str">
        <x:v>A medical device is any instrument, apparatus, equipment, implant, software, or material intended by the manufacturer to be used on humans for specific medical purposes (diagnosis, prevention, treatment, etc.), whose main action is not pharmacological, immunological, or metabolic. The change categories are: required approval change, immediate implementation change, and non-reportable change.</x:v>
      </x:c>
      <x:c r="J23" s="22" t="str">
        <x:v>RDC 751/2022, Art. 4</x:v>
      </x:c>
      <x:c r="K23" s="22" t="str">
        <x:v>Art. 4º Para fins da presente Resolução serão aplicadas as seguintes definições, as quais podem ter significado distinto em outro contexto. I - acessório (de um dispositivo médico): produto destinado pelo seu fabricante a ser utilizado em conjunto com um ou vários dispositivos médicos específicos, para permitir ou ajudar de forma específica e direta que o(s) dispositivo(s) médico(s) sejam usados de acordo com a finalidade pretendida; II - aglomerado: para efeitos da definição de nanomaterial, um conjunto de partículas fracamente ligadas em que a área de superfície externa resultante é igual à soma das áreas da superfície dos componentes individuais; III - agregado: para efeitos da definição de nanomaterial, uma partícula que compreende partículas fortemente ligadas ou fundidas, em que a área de superfície externa resultante pode ser significativamente menor que a soma das áreas de superfície calculadas dos componentes individuais; IV - alteração: modificação de informações apresentadas à Anvisa no processo de notificação ou registro do dispositivo médico e nas suas respectivas petições secundárias; V - alteração de aprovação requerida: alteração de maior relevância sanitária, que trata de mudança a ser introduzida no processo de registro, sendo autorizada em território nacional somente após análise técnica documental e manifestação favorável da Anvisa; VI - alteração de implementação imediata: alteração de média relevância sanitária, que trata de mudança a ser introduzida no processo de notificação ou registro, sendo sua implementação autorizada em território nacional após a protocolização de petição junto à Anvisa; VII - alteração não reportável: qualquer outra alteração de menor relevância sanitária, decorrente de mudança que não é classificada como de aprovação requerida ou de implementação imediata, e que não depende de protocolo na Anvisa para implementação; VIII - detentor (de notificação ou de registro): pessoa jurídica, pública ou privada, fabricante ou importador, responsável pelo dispositivo médico em território nacional, que detém a concessão de comercialização de dispositivo médico, emitida pela Anvisa; IX - dispositivo cirurgicamente invasivo: dispositivo invasivo que penetra no corpo através da sua superfície, incluindo através das membranas mucosas dos orifícios corporais, no âmbito de uma intervenção cirúrgica; e dispositivo que penetra no corpo por outra via que não um orifício corporal; X - dispositivo médico (produto médico); qualquer instrumento, aparelho, equipamento, implante, dispositivo médico para diagnóstico in vitro, software, material ou outro artigo, destinado pelo fabricante a ser usado, isolado ou conjuntamente, em seres humanos, para algum dos seguintes propósitos médicos específicos, e cuja principal ação pretendida não seja alcançada por meios farmacológicos, imunológicos ou metabólicos no corpo humano, mas que podem ser auxiliados na sua ação pretendida por tais meios: a) diagnóstico, prevenção, monitoramento, tratamento (ou alívio) de uma doença; b) diagnóstico, monitoramento, tratamento ou reparação de uma lesão ou deficiência; c) investigação, substituição, alteração da anatomia ou de um processo ou estado fisiológico ou patológico; d) suporte ou manutenção da vida; e) controle ou apoio à concepção; ou f) fornecimento de informações por meio de exame in vitro de amostras provenientes do corpo humano, incluindo doações de órgãos e tecidos. XI - dispositivo médico ativo: qualquer dispositivo cujo funcionamento depende de uma fonte de energia não gerada pelo corpo humano para esse efeito, ou pela gravidade, e que atua por alteração da densidade ou por conversão dessa energia, excetuando-se aqueles destinados a transmitir energia, substâncias ou outros elementos entre um dispositivo ativo e o paciente sem produzir qualquer alteração significativa; XII - dispositivo médico ativo para diagnóstico e monitoramento: qualquer dispositivo ativo utilizado isoladamente ou em combinação com outros dispositivos para fornecer informações com vista à detecção, diagnóstico, monitoramento, observação ou tratamento de estados fisiológicos, estados de saúde, doenças ou malformações congênitas; XIII - dispositivo médico de uso único: um dispositivo destinado a ser utilizado em uma pessoa durante um único procedimento, segundo especificação do fabricante; XIV - dispositivo médico implantável: qualquer dispositivo, incluindo os que são parcial ou totalmente absorvidos, destinado a ser introduzido totalmente no corpo humano; ou a substituir uma superfície epitelial ou a superfície ocular, mediante intervenção clínica, e que se destine a permanecer neste local após a intervenção, ou ainda aquele destinado a ser introduzido parcialmente no corpo humano mediante intervenção clínica e a permanecer neste local após a intervenção por um período de, pelo menos, 30 dias; XV - dispositivo médico invasivo: qualquer dispositivo que penetre parcial ou totalmente no corpo, seja por um dos seus orifícios ou atravessando a sua superfície; XVI - dispositivo médico para diagnóstico in vitro: reagentes, calibradores, padrões, controles, coletores de amostra, softwares, instrumentos ou outros artigos, usados individualmente ou em combinação, com intenção de uso determinada pelo fabricante para a análise in vitro de amostras derivadas do corpo humano, exclusivamente ou principalmente, para fornecer informações para fins de diagnóstico, auxílio ao diagnóstico, monitoramento, compatibilidade, triagem, predisposição, prognóstico, predição ou determinação do estado fisiológico; XVII - dispositivo médico terapêutico ativo: qualquer dispositivo ativo utilizado isoladamente ou em combinação com outros dispositivos para manter, modificar, substituir ou restabelecer funções ou estruturas biológicas no âmbito de um tratamento ou da atenuação de uma doença, lesão ou deficiência; XVIII - dossiê técnico: documento que descreve os elementos que compõem o produto, indicando as características, a finalidade, o modo de uso, o conteúdo, os cuidados especiais, os potenciais riscos, o processo produtivo e informações adicionais; XIX - fabricante legal: pessoa jurídica, pública ou privada, com responsabilidade pelo projeto, manufatura, embalagem e rotulagem de um produto, com a intenção de disponibilizá-lo para uso sob seu nome, sendo estas operações realizadas pela própria empresa ou por terceiros em seu nome. XX - família: agrupamento de dispositivos médicos, para efeito de notificação ou registro, previsto em regulamento específico, onde cada produto possui características técnicas semelhantes de: a) Indicação, finalidade de uso; b) Funcionamento e ação; c) Tecnologia; d) Conteúdo ou composição, quando aplicável; e e) Precauções, restrições, advertências e cuidados especiais. XXI - finalidade pretendida (finalidade de uso): a utilização a que um dispositivo se destina, de acordo com a informação declarada pelo fabricante na avaliação clínica; XXII - importador: pessoa jurídica, pública ou privada, responsável pela atividade de importação para entrada de dispositivos médicos procedentes do exterior no território nacional; XXIII - instruções de uso: documento contendo informações prestadas pelo fabricante para esclarecer o usuário sobre a finalidade pretendida de um dispositivo, sua correta utilização e eventuais precauções a tomar; XXIV - instrumento cirúrgico reutilizável: um instrumento que se destina a cortar, perfurar, escarificar, serrar, raspar, remover, grampear, afastar, aparar ou a realizar procedimentos semelhantes, no âmbito de intervenções clínicas e cirúrgicas, podendo ou não se conectar a um dispositivo ativo, e destinado pelo fabricante a ser reutilizado depois de terem sido efetuados os procedimentos adequados, como limpeza, desinfecção e esterilização; XXV - investigação clínica: qualquer investigação ou estudo sistemático em um ou mais seres humanos, realizado para avaliar a segurança, desempenho clínico e/ou eficácia de um dispositivo médico. Para os fins deste regulamento, este termo é sinônimo de "ensaio clínico" ou "pesquisa clínica"; XXVI - kit (conjunto, set ou bandeja): conjunto de dispositivos médicos que, independente de serem registrados ou notificados individualmente, são agrupados em uma unidade de venda para uma finalidade de uso ou procedimento específico: a) para efeitos de regularização, o conjunto deve ser de um mesmo fabricante ou grupo fabril; e b) os componentes de um kit de dispositivos médicos, isoladamente, não mantêm relação de interdependência para obtenção da funcionalidade e desempenho a que se destina. XXVII - lote ou partida: quantidade de um dispositivo médico elaborada em um ciclo de fabricação ou esterilização, cuja característica essencial é a homogeneidade; XXVIII - nanomaterial: material natural, incidental ou manufaturado que contém partículas em estado não ligado ou sob a forma de agregado ou aglomerado, em que 50% ou mais do número de partículas apresente distribuição de tamanho dentro do intervalo de 1 a 100 nm, em uma ou mais de suas dimensões externas, podendo incluir: a) fulerenos, flocos de grafeno e nanotubos de carbono de parede simples com uma ou mais dimensões externas inferiores a 1 nm também são considerados nanomateriais. b) materiais manufaturados com dimensões que extrapolem o limite superior da nanoescala (estabelecida entre 1 e 100 nm), até o marco de 1000 nm, e que exibam propriedades ou fenômenos tamanho-dependentes distintos daqueles apresentados pelo mesmo material em macroescala, poderão ser enquadrados na definição de nanomaterial; XXIX - norma técnica: documento estabelecido por consenso e aprovado por um organismo reconhecido, que fornece para uso comum e repetitivo regras, diretrizes ou características para atividades ou seus resultados, visando obter um grau ótimo de ordenação em um dado contexto; XXX - notificação: ato de comunicar à Anvisa a intenção de comercialização de dispositivo médico, destinado a comprovar o direito de fabricação e de importação de dispositivo médico dispensado de registro na forma do §1º do art. 25 da Lei nº 6.360, de 23 de setembro de 1976 , e classificado nas classes de risco I ou II, com a indicação do nome, do fabricante, da finalidade e dos outros elementos que o caracterizem; XXXI - orifício corporal: qualquer abertura natural do corpo, bem como a cavidade ocular, ou qualquer abertura artificial permanente como, por exemplo, um estoma; XXXII - partícula: para efeitos da definição de nanomaterial, uma porção minúscula de matéria com fronteiras físicas definidas; XXXIII - pele ou membrana mucosa lesada: uma superfície de pele ou uma membrana mucosa que apresente uma alteração patológica ou provocada por doença ou lesão; XXXIV - reavaliação processual: procedimento realizado pela área técnica da Anvisa em notificações e registros de dispositivos médicos para fins de auditoria nos processos; XXXV - registro: ato privativo da Anvisa destinado a comprovar o direito de fabricação e de importação de produto submetido ao regime da Lei nº 6.360, de 23 de setembro de 1976 , e classificado nas classes de risco III ou IV, com a indicação do nome, do fabricante, da finalidade e dos outros elementos que o caracterizem; XXXVI - Repositório Documental de Dispositivos Médicos: ferramenta digital para armazenamento e disponibilização de documentos relativos aos dispositivos médicos notificados e registrados, disponível no portal eletrônico da Anvisa; XXXVII - responsável legal: pessoa física designada em estatuto, contrato social ou ata, incumbida de representar, ativa e passivamente, nos atos judiciais e extrajudiciais a pessoa jurídica solicitante (fabricante ou importador); XXXVIII - responsável técnico: profissional de nível superior, legalmente habilitado, capacitado nas tecnologias que compõem o produto, responsável pelas informações técnicas apresentadas pelo solicitante (fabricante ou importador) e pela qualidade, segurança e desempenho do produto comercializado; XXXIX - rótulo: informações escritas, impressas ou gráficas que constam no próprio produto, na embalagem de cada unidade ou na embalagem de vários dispositivos; XL - sistema: conjunto de dispositivos médicos compatíveis, que se relacionam ou interagem entre si, exclusivamente com o objetivo de cumprir uma finalidade pretendida pelo fabricante; XLI - sistema circulatório central: sistema que inclui os seguintes vasos sanguíneos: artérias pulmonares, aorta ascendente, arco da aorta, aorta descendente até a bifurcação aórtica, artérias coronárias, artéria carótida comum, artéria carótida externa, artéria carótida interna, artérias cerebrais, tronco braquicefálico, veias coronárias, veias pulmonares, veia cava superior e veia cava inferior; XLII - sistema nervoso central: sistema que inclui o cérebro, as meninges e a medula espinhal; XLIII - Software como Dispositivo Médico (Software as a Medical Device - SaMD): produto ou aplicação destinados a uma ou mais finalidades indicadas na definição de dispositivo médico e que desempenha suas funções sem ser parte do hardware de um dispositivo médico, com as seguintes características: a) o SaMD pode ser executado em uma plataforma computacional de propósito geral (finalidade não médica); b) a "plataforma computacional" inclui recursos de hardware e software (sistema operacional, hardware de processamento, armazenamento, banco de dados, dispositivos de visualização, dispositivos de entrada, linguagem de programação, etc.); c) "sem fazer parte de" significa que o programa não precisa do hardware de um dispositivo médico para atingir sua finalidade de uso; d) um software não é considerado SaMD se seu objetivo é controlar o hardware de um dispositivo médico; e) um SaMD pode ser usado em combinação (por exemplo, como módulo) com outros produtos, incluindo outros dispositivos médicos; f) um SaMD pode interagir com outros dispositivos médicos, incluindo hardware de outros dispositivos médicos e outro SaMD, bem como software de uso geral; e g) os aplicativos móveis (apps) que atendem à definição são considerados SaMD; XLIV - solicitante: pessoa jurídica, pública ou privada, que encaminha petições para notificação ou registro de dispositivos médicos junto à autoridade sanitária; XLV - unidade fabril: local onde ocorre uma ou mais etapas de fabricação, podendo ser o próprio fabricante legal, fabricante contratado ou fabricante original de produto; XLVI - uso de curto prazo: uso realizado normalmente de forma contínua durante um período compreendido entre 60 (sessenta) minutos e 30 (trinta) dias; XLVII - uso de longo prazo: uso realizado normalmente de forma contínua durante um período superior a 30 (trinta) dias; XLVIII - uso transitório: uso realizado normalmente de forma contínua durante menos de 60 (sessenta) minutos; e XLIX - usuário: profissional de saúde ou leigo, podendo ser o próprio paciente, que utiliza um dispositivo médico, conforme as instruções de uso.</x:v>
      </x:c>
      <x:c r="L23" s="21" t="str"/>
      <x:c r="M23" s="21" t="str"/>
      <x:c r="N23" s="21" t="str"/>
      <x:c r="O23" s="21" t="str"/>
      <x:c r="P23" s="21" t="str"/>
      <x:c r="Q23" s="22" t="str"/>
      <x:c r="R23" s="22" t="str"/>
      <x:c r="S23" s="22" t="str"/>
    </x:row>
    <x:row r="24" ht="88.5" customHeight="1">
      <x:c r="A24" s="23" t="n">
        <x:v>23</x:v>
      </x:c>
      <x:c r="B24" s="23" t="str">
        <x:v>DIRECT_31</x:v>
      </x:c>
      <x:c r="C24" s="23" t="str">
        <x:v>Direct</x:v>
      </x:c>
      <x:c r="D24" s="23" t="str">
        <x:v>direct_article</x:v>
      </x:c>
      <x:c r="E24" s="23" t="str">
        <x:v>Yes</x:v>
      </x:c>
      <x:c r="F24" s="22" t="str">
        <x:v>Qual é o prazo para o carregamento de instruções de uso no caso de alterações não reportáveis de produtos previamente notificados ou registrados?</x:v>
      </x:c>
      <x:c r="G24" s="22" t="str">
        <x:v>O carregamento deve ser realizado em até 180 (cento e oitenta) dias após a implementação da alteração que implique mudança nas instruções de uso.</x:v>
      </x:c>
      <x:c r="H24" s="22" t="str">
        <x:v>What is the deadline for uploading instructions for use in the case of non-reportable changes to previously notified or registered products?</x:v>
      </x:c>
      <x:c r="I24" s="22" t="str">
        <x:v>The upload must be performed within 180 (one hundred and eighty) days after the implementation of the change that implies a modification in the instructions for use.</x:v>
      </x:c>
      <x:c r="J24" s="22" t="str">
        <x:v>RDC 751/2022, Art. 33</x:v>
      </x:c>
      <x:c r="K24" s="22" t="str">
        <x:v>Art. 33. O carregamento de instruções de uso no Repositório Documental de Dispositivos Médicos corresponde à inserção e à atualização destes documentos vinculados aos processos de notificação ou registro de dispositivos médicos. § 1º No caso de dispositivo médico que não possui instruções de uso (como documento específico), deve-se carregar o modelo de rotulagem no campo das instruções de uso, contemplando também as informações previstas no § 2º O carregamento de instruções de uso deverá ocorrer por meio dos assuntos de peticionamento aplicáveis, identificados como "Disponibilização de Instruções de Uso no Portal da Anvisa". § 3º O carregamento de instruções de uso é de responsabilidade do detentor da notificação ou do registro e deverá ser controlado por este para eventuais auditorias. § 4º O carregamento de instruções de uso é obrigatório e deve ser executado pela empresa responsável pela notificação ou pelo registro do produto, a qual atesta que seu conteúdo guarda concordância com a legislação vigente e consistência com o produto regularizado. § 5º Para os novos produtos notificados ou registrados e para as alterações daqueles produtos previamente notificados ou registrados, o peticionamento e o respectivo carregamento de instruções de uso deverá ser realizado em até 30 (trinta) dias após a publicação em Diário Oficial da União. § 6º Para as alterações não reportáveis daqueles produtos previamente notificados ou registrados, o peticionamento e o respectivo carregamento de instruções de uso deverá ser realizado em até 180 (cento e oitenta) dias após a implementação da alteração que implique mudança nas instruções de uso.</x:v>
      </x:c>
      <x:c r="L24" s="21" t="str"/>
      <x:c r="M24" s="21" t="str"/>
      <x:c r="N24" s="21" t="str"/>
      <x:c r="O24" s="21" t="str"/>
      <x:c r="P24" s="21" t="str"/>
      <x:c r="Q24" s="22" t="str"/>
      <x:c r="R24" s="22" t="str"/>
      <x:c r="S24" s="22" t="str"/>
    </x:row>
    <x:row r="25" ht="88.5" customHeight="1">
      <x:c r="A25" s="23" t="n">
        <x:v>24</x:v>
      </x:c>
      <x:c r="B25" s="23" t="str">
        <x:v>DIRECT_39</x:v>
      </x:c>
      <x:c r="C25" s="23" t="str">
        <x:v>Direct</x:v>
      </x:c>
      <x:c r="D25" s="23" t="str">
        <x:v>direct_article</x:v>
      </x:c>
      <x:c r="E25" s="23" t="str">
        <x:v>Yes</x:v>
      </x:c>
      <x:c r="F25" s="22" t="str">
        <x:v>Quais são os elementos mínimos que devem constar no Plano de Gerenciamento de Risco de um medicamento?</x:v>
      </x:c>
      <x:c r="G25" s="22" t="str">
        <x:v>Deve conter: especificações de segurança (perfil, dados não-clínicos/clínicos, uso pós-comercialização, abuso/off label); dados epidemiológicos (população-alvo e comorbidades); atividades de farmacovigilância; riscos potenciais e identificados com medidas de monitoramento; medidas para informações críticas faltantes; previsão de coleta de dados adicionais; ações de minimização de riscos; e ações de segurança decorrentes de medidas de autoridades estrangeiras.</x:v>
      </x:c>
      <x:c r="H25" s="22" t="str">
        <x:v>What are the minimum elements that must be included in a medicinal product's Risk Management Plan?</x:v>
      </x:c>
      <x:c r="I25" s="22" t="str">
        <x:v>It must contain: safety specifications (profile, non-clinical/clinical data, post-marketing use, abuse/off-label); epidemiological data (target population and comorbidities); pharmacovigilance activities; potential and identified risks with monitoring measures; measures for missing critical information; plans for additional data collection; risk minimization actions; and safety actions resulting from foreign regulatory measures.</x:v>
      </x:c>
      <x:c r="J25" s="22" t="str">
        <x:v>RDC 406/2020, Art. 44</x:v>
      </x:c>
      <x:c r="K25" s="22" t="str">
        <x:v>Art. 44. O Plano de Gerenciamento de Risco deve ser elaborado especificamente por medicamento e deve conter, no mínimo: I - especificações de Segurança, contemplando 1 (um) sumário do perfil de segurança conhecido do produto, e dados de exposição de estudos não-clínicos, clínicos e de uso pós-comercialização, bem como outros aspectos relacionados ao uso do produto, como abuso e uso off label; II - dados epidemiológicos, contendo informações da população que provavelmente será exposta ao produto (população-alvo) e as comorbidades relevantes dessa população; III - descrição das atividades de Farmacovigilância a serem desenvolvidas pelo Detentor de Registro de Medicamento; IV - descrição dos riscos potenciais e identificados contemplados na especificação de segurança, bem como das respectivas medidas de Farmacovigilância propostas para monitorá-los; V - descrição de medidas específicas para apresentação de informações críticas faltantes; VI - previsão de coleta de informações, em adição aos estudos planejados, com o objetivo de aumentar o conhecimento da segurança do produto, quando o Detentor de Registro de Medicamento julgar necessário; VII - descrição das ações adicionais propostas para a minimização de riscos em Farmacovigilância, quando aplicável; e VIII - descrição das ações de segurança adotadas pelo Detentor de Registro do Medicamento, decorrentes de medidas regulatórias tomadas por autoridades sanitárias estrangeiras, quando aplicável.</x:v>
      </x:c>
      <x:c r="L25" s="21" t="str"/>
      <x:c r="M25" s="21" t="str"/>
      <x:c r="N25" s="21" t="str"/>
      <x:c r="O25" s="21" t="str"/>
      <x:c r="P25" s="21" t="str"/>
      <x:c r="Q25" s="22" t="str"/>
      <x:c r="R25" s="22" t="str"/>
      <x:c r="S25" s="22" t="str"/>
    </x:row>
    <x:row r="26" ht="88.5" customHeight="1">
      <x:c r="A26" s="23" t="n">
        <x:v>25</x:v>
      </x:c>
      <x:c r="B26" s="23" t="str">
        <x:v>DIRECT_06</x:v>
      </x:c>
      <x:c r="C26" s="23" t="str">
        <x:v>Direct</x:v>
      </x:c>
      <x:c r="D26" s="23" t="str">
        <x:v>direct_article</x:v>
      </x:c>
      <x:c r="E26" s="23" t="str">
        <x:v>Yes</x:v>
      </x:c>
      <x:c r="F26" s="22" t="str">
        <x:v>Quais documentos devem ser apresentados após a chegada de um produto sob investigação no Brasil?</x:v>
      </x:c>
      <x:c r="G26" s="22" t="str">
        <x:v>Devem ser apresentados: cópia do CE, CEE ou documento do DDCM; documento de delegação de responsabilidades de importação (se aplicável); termo de responsabilidade para importação; cópia do conhecimento de carga embarcada; e cópia da fatura comercial.</x:v>
      </x:c>
      <x:c r="H26" s="22" t="str">
        <x:v>Which documents must be presented after the arrival of an investigational product in Brazil?</x:v>
      </x:c>
      <x:c r="I26" s="22" t="str">
        <x:v>The following must be presented: copy of the CE, CEE, or DDCM document; import responsibility delegation document (if applicable); import responsibility term; copy of the bill of lading; and copy of the commercial invoice.</x:v>
      </x:c>
      <x:c r="J26" s="22" t="str">
        <x:v>RDC 9/2015, Art. 74</x:v>
      </x:c>
      <x:c r="K26" s="22" t="str">
        <x:v>Art. 74 . Os seguintes documentos devem ser apresentados após a chegada do produto sob investigação no território nacional: I - cópia do Comunicado Especial (CE), Comunicado Especial Específico (CEE) ou Documento para Importação de Produto(s) sob investigação do Dossiê de Desenvolvimento Clínico de Medicamento (DDCM) emitido pela área técnica c ompetente da Anvisa em sua sede; II – nos casos de import ações realizadas por outros que não o detento r do DDCM, deve ser apresentada cópia do documento de delegação de responsabilidades de importação; III - termo de responsabilidade para importação destinada à pesquisa clínica disposto em regulamento sanitári o de bens e produtos importados; IV - cópia do conhecimento de carga embarcada ; e V - cópia da fatura comercial .</x:v>
      </x:c>
      <x:c r="L26" s="21" t="str"/>
      <x:c r="M26" s="21" t="str"/>
      <x:c r="N26" s="21" t="str"/>
      <x:c r="O26" s="21" t="str"/>
      <x:c r="P26" s="21" t="str"/>
      <x:c r="Q26" s="22" t="str"/>
      <x:c r="R26" s="22" t="str"/>
      <x:c r="S26" s="22" t="str"/>
    </x:row>
    <x:row r="27" ht="88.5" customHeight="1">
      <x:c r="A27" s="23" t="n">
        <x:v>26</x:v>
      </x:c>
      <x:c r="B27" s="23" t="str">
        <x:v>COMPLEX_05</x:v>
      </x:c>
      <x:c r="C27" s="23" t="str">
        <x:v>Complex</x:v>
      </x:c>
      <x:c r="D27" s="23" t="str">
        <x:v>exception</x:v>
      </x:c>
      <x:c r="E27" s="23" t="str">
        <x:v>Yes</x:v>
      </x:c>
      <x:c r="F27" s="22" t="str">
        <x:v>Qual é o procedimento e a consequência caso os critérios para a aplicação do procedimento otimizado de análise (Reliance) não sejam cumpridos?</x:v>
      </x:c>
      <x:c r="G27" s="22" t="str">
        <x:v>A solicitação deve ser feita via petição secundária antes da análise. Se os critérios não forem cumpridos, o status da petição será 'Não Anuído', será enviada uma justificativa por ofício à empresa e realizada a análise integral dos documentos conforme a RDC 945/2024.</x:v>
      </x:c>
      <x:c r="H27" s="22" t="str">
        <x:v>What is the procedure and the consequence if the criteria for the application of the optimized analysis procedure (Reliance) are not met?</x:v>
      </x:c>
      <x:c r="I27" s="22" t="str">
        <x:v>The request must be made via secondary petition before analysis begins. If criteria are not met, the petition status will be 'Not Granted' (Não Anuído), a justification will be sent to the company via official letter, and a full analysis of documents will be performed according to RDC 945/2024.</x:v>
      </x:c>
      <x:c r="J27" s="22" t="str">
        <x:v>IN 338/2024, Art. 7</x:v>
      </x:c>
      <x:c r="K27" s="22" t="str">
        <x:v>Art. 7º° A solicitação da aplicação do procedimento otimizado de análise com base em práticas de confiança regulatória (Reliance) poderá ser peticionada pelo patrocinador a qualquer momento, por meio de petição secundária, antes de iniciada a análise da petição correspondente. §1° Se cumpridos os critérios para a aplicação do procedimento otimizado de análise com base em práticas de confiança regulatória (Reliance), o status da petição secundária da solicitação será atualizado para "Anuído". §2° No caso de não cumprimento dos critérios para a aplicação do procedimento otimizado de análise, com base em práticas de confiança regulatória (Reliance), o status da petição secundária da solicitação será atualizado para "Não Anuído" e será realizada a análise integral de todos os documentos vinculados à petição, conforme descritos na Resolução da Diretoria Colegiada Anvisa nº 945/2024 . (Redação dada pela Instrução Normativa - IN nº 345, de 20/02/2025 ) Redações Anteriores §3° Na hipótese do §2º, será enviado ofício à empresa com a respectiva justificativa.</x:v>
      </x:c>
      <x:c r="L27" s="21" t="str"/>
      <x:c r="M27" s="21" t="str"/>
      <x:c r="N27" s="21" t="str"/>
      <x:c r="O27" s="21" t="str"/>
      <x:c r="P27" s="21" t="str"/>
      <x:c r="Q27" s="22" t="str"/>
      <x:c r="R27" s="22" t="str"/>
      <x:c r="S27" s="22" t="str"/>
    </x:row>
    <x:row r="28" ht="88.5" customHeight="1">
      <x:c r="A28" s="23" t="n">
        <x:v>27</x:v>
      </x:c>
      <x:c r="B28" s="23" t="str">
        <x:v>DIRECT_50</x:v>
      </x:c>
      <x:c r="C28" s="23" t="str">
        <x:v>Direct</x:v>
      </x:c>
      <x:c r="D28" s="23" t="str">
        <x:v>direct_article</x:v>
      </x:c>
      <x:c r="E28" s="23" t="str">
        <x:v>Yes</x:v>
      </x:c>
      <x:c r="F28" s="22" t="str">
        <x:v>Quais documentos podem ser submetidos ao procedimento otimizado de análise baseado em avaliação de risco, conforme o Art. 8º?</x:v>
      </x:c>
      <x:c r="G28" s="22" t="str">
        <x:v>Podem ser submetidos: a Brochura do Investigador (BI), para categorias de risco específicas do art. 3º, e o Dossiê do Produto sob Investigação (DPI) ou IMPD, para ensaios clínicos de baixo risco e categorias específicas do art. 3º.</x:v>
      </x:c>
      <x:c r="H28" s="22" t="str">
        <x:v>Which documents may be submitted to the optimized analysis procedure based on risk assessment, according to Art. 8?</x:v>
      </x:c>
      <x:c r="I28" s="22" t="str">
        <x:v>The following may be submitted: the Investigator's Brochure (IB) for specific risk categories defined in art. 3, and the Investigational Medicinal Product Dossier (IMPD) or Dossiê do Produto sob Investigação (DPI) for low-risk clinical trials and specific categories defined in art. 3.</x:v>
      </x:c>
      <x:c r="J28" s="22" t="str">
        <x:v>IN 338/2024, Art. 8</x:v>
      </x:c>
      <x:c r="K28" s="22" t="str">
        <x:v>Art. 8º. Dentre os documentos exigidos para a instrução de cada tipo de petição, nos termos da Resolução da Diretoria Colegiada - RDC 945, de 29 de novembro de 2024 , aos documentos listados a seguir poderá ser aplicado o procedimento otimizado de análise com base na avaliação de risco: I - brochura do Investigador (BI), quando se tratar das categorias de risco definidas no inciso II, alíneas "a" e "c", do art. 3º; II - o Dossiê do Produto sob Investigação (DPI) ou Investigational Medicinal Product Dossier (IMPD), quando se tratar das categorias de ensaios clínicos de baixo risco e no inciso III, alínea "a" do art. 3º. Parágrafo único. para fins do descrito no caput, para medicamentos registrados no Brasil ou por AREE, medicamentos modificados para uso no ensaio clínico e Associações em Dose Fixa (ADF) com IFAs registrados e já utilizados concomitantemente na prática médica, na mesma indicação pleiteada, população-alvo e regime posológico (sem interação farmacocinética e/ou farmacodinâmica clinicamente significativa) serão analisadas as informações do DPI ou IMPD relacionadas com as modificações realizadas. (Redação dada pela Instrução Normativa - IN nº 345, de 20/02/2025 ) Redações Anteriores</x:v>
      </x:c>
      <x:c r="L28" s="21" t="str"/>
      <x:c r="M28" s="21" t="str"/>
      <x:c r="N28" s="21" t="str"/>
      <x:c r="O28" s="21" t="str"/>
      <x:c r="P28" s="21" t="str"/>
      <x:c r="Q28" s="22" t="str"/>
      <x:c r="R28" s="22" t="str"/>
      <x:c r="S28" s="22" t="str"/>
    </x:row>
    <x:row r="29" ht="88.5" customHeight="1">
      <x:c r="A29" s="23" t="n">
        <x:v>28</x:v>
      </x:c>
      <x:c r="B29" s="23" t="str">
        <x:v>DIRECT_17</x:v>
      </x:c>
      <x:c r="C29" s="23" t="str">
        <x:v>Direct</x:v>
      </x:c>
      <x:c r="D29" s="23" t="str">
        <x:v>direct_article</x:v>
      </x:c>
      <x:c r="E29" s="23" t="str">
        <x:v>Yes</x:v>
      </x:c>
      <x:c r="F29" s="22" t="str">
        <x:v>Quais são os requisitos para que uma empresa solicite o registro excepcional de um produto biológico novo com estudos de fase III ainda em andamento?</x:v>
      </x:c>
      <x:c r="G29" s="22" t="str">
        <x:v>O produto deve ser utilizado no tratamento ou prevenção de doenças graves e/ou de alta mortalidade, ter estudos de fase II concluídos, demonstrar alta eficácia terapêutica ou preventiva, e não existir outra terapia ou droga alternativa comparável para aquele estágio da doença.</x:v>
      </x:c>
      <x:c r="H29" s="22" t="str">
        <x:v>What are the requirements for a company to request the exceptional registration of a new biological product with phase III studies still in progress?</x:v>
      </x:c>
      <x:c r="I29" s="22" t="str">
        <x:v>The product must be used for the treatment or prevention of serious diseases and/or high mortality, have completed phase II studies, demonstrate high therapeutic or preventive efficacy, and there must be no other comparable therapy or alternative drug for that stage of the disease.</x:v>
      </x:c>
      <x:c r="J29" s="22" t="str">
        <x:v>RDC 55/2010, Art. 23</x:v>
      </x:c>
      <x:c r="K29" s="22" t="str">
        <x:v>Art. 23. Excepcionalmente, a empresa poderá requerer o registro de produto biológico novo utilizado no tratamento ou prevenção de doenças graves e/ou de alta mortalidade, com estudos clínicos fase II já concluídos e com estudos fase III em andamento, desde que seja demonstrada uma alta eficácia terapêutica ou preventiva e/ou não exista outra terapia ou droga alternativa comparável para aquele estágio da doença. § 1º Se o registro for concedido pela Anvisa, a segurança e eficácia deverão ser monitoradas e avaliadas continuamente no Brasil, pelo sistema de Farmacovigilância da empresa detentora, atendendo à legislação vigente. § 2º Nos casos previstos no caput deste artigo, além da documentação descrita nas Seções I e II do deverá apresentar os seguintes documentos: I - cronograma de realização e finalização dos estudos clínicos de fase III; II - resultados preliminares dos estudos clínicos de fase III, caso disponíveis. § 3º Os resultados dos estudos clínicos de fase III devem ser apresentados à ANVISA tão logo estejam disponíveis, conforme apontado no cronograma de realização.</x:v>
      </x:c>
      <x:c r="L29" s="21" t="str"/>
      <x:c r="M29" s="21" t="str"/>
      <x:c r="N29" s="21" t="str"/>
      <x:c r="O29" s="21" t="str"/>
      <x:c r="P29" s="21" t="str"/>
      <x:c r="Q29" s="22" t="str"/>
      <x:c r="R29" s="22" t="str"/>
      <x:c r="S29" s="22" t="str"/>
    </x:row>
    <x:row r="30" ht="88.5" customHeight="1">
      <x:c r="A30" s="23" t="n">
        <x:v>29</x:v>
      </x:c>
      <x:c r="B30" s="23" t="str">
        <x:v>UNANS_16</x:v>
      </x:c>
      <x:c r="C30" s="23" t="str">
        <x:v>Unanswerable</x:v>
      </x:c>
      <x:c r="D30" s="23" t="str">
        <x:v>unanswerable_contact_details</x:v>
      </x:c>
      <x:c r="E30" s="23" t="str">
        <x:v>No</x:v>
      </x:c>
      <x:c r="F30" s="22" t="str">
        <x:v>Qual é o telefone pessoal do servidor responsável por uma submissão?</x:v>
      </x:c>
      <x:c r="G30" s="22" t="str">
        <x:v>Os documentos recuperados nao fornecem informacao suficiente para responder.</x:v>
      </x:c>
      <x:c r="H30" s="22" t="str">
        <x:v>What is the personal telephone number of the official responsible for a submission?</x:v>
      </x:c>
      <x:c r="I30" s="22" t="str">
        <x:v>The retrieved documents do not provide enough information to answer.</x:v>
      </x:c>
      <x:c r="J30" s="22" t="str"/>
      <x:c r="K30" s="22" t="str"/>
      <x:c r="L30" s="21" t="str"/>
      <x:c r="M30" s="21" t="str"/>
      <x:c r="N30" s="21" t="str"/>
      <x:c r="O30" s="21" t="str"/>
      <x:c r="P30" s="21" t="str"/>
      <x:c r="Q30" s="22" t="str"/>
      <x:c r="R30" s="22" t="str"/>
      <x:c r="S30" s="22" t="str"/>
    </x:row>
    <x:row r="31" ht="88.5" customHeight="1">
      <x:c r="A31" s="23" t="n">
        <x:v>30</x:v>
      </x:c>
      <x:c r="B31" s="23" t="str">
        <x:v>DIRECT_65</x:v>
      </x:c>
      <x:c r="C31" s="23" t="str">
        <x:v>Direct</x:v>
      </x:c>
      <x:c r="D31" s="23" t="str">
        <x:v>direct_article</x:v>
      </x:c>
      <x:c r="E31" s="23" t="str">
        <x:v>Yes</x:v>
      </x:c>
      <x:c r="F31" s="22" t="str">
        <x:v>Como as decisões da Anvisa sobre o status de um DDCM ou ensaio clínico devem ser comunicadas?</x:v>
      </x:c>
      <x:c r="G31" s="22" t="str">
        <x:v>As decisões devem ser publicadas no Diário Oficial da União (DOU) e publicizadas no sítio eletrônico da Anvisa, contendo os respectivos status.</x:v>
      </x:c>
      <x:c r="H31" s="22" t="str">
        <x:v>How must Anvisa's decisions regarding the status of a DDCM or clinical trial be communicated?</x:v>
      </x:c>
      <x:c r="I31" s="22" t="str">
        <x:v>Decisions must be published in the Official Gazette (DOU) and made public on the Anvisa website, including their respective statuses.</x:v>
      </x:c>
      <x:c r="J31" s="22" t="str">
        <x:v>RDC 945/2024, Art. 95</x:v>
      </x:c>
      <x:c r="K31" s="22" t="str">
        <x:v>Art. 95. As decisões da Anvisa quanto à autorização ou não autorização, o cancelamento ou suspensão e reativação de DDCM e/ou ensaio clínico, devem ser publicadas no Diário Oficial da União (DOU) e publicizadas no sítio eletrônico da Anvisa, com os respectivos status.</x:v>
      </x:c>
      <x:c r="L31" s="21" t="str"/>
      <x:c r="M31" s="21" t="str"/>
      <x:c r="N31" s="21" t="str"/>
      <x:c r="O31" s="21" t="str"/>
      <x:c r="P31" s="21" t="str"/>
      <x:c r="Q31" s="22" t="str"/>
      <x:c r="R31" s="22" t="str"/>
      <x:c r="S31" s="22" t="str"/>
    </x:row>
    <x:row r="32" ht="88.5" customHeight="1">
      <x:c r="A32" s="23" t="n">
        <x:v>31</x:v>
      </x:c>
      <x:c r="B32" s="23" t="str">
        <x:v>DIRECT_13</x:v>
      </x:c>
      <x:c r="C32" s="23" t="str">
        <x:v>Direct</x:v>
      </x:c>
      <x:c r="D32" s="23" t="str">
        <x:v>direct_article</x:v>
      </x:c>
      <x:c r="E32" s="23" t="str">
        <x:v>Yes</x:v>
      </x:c>
      <x:c r="F32" s="22" t="str">
        <x:v>Quais documentos específicos, além dos formulários e taxas, devem ser apresentados no protocolo de registro de um produto biológico novo?</x:v>
      </x:c>
      <x:c r="G32" s="22" t="str">
        <x:v>A empresa deve apresentar: declaração de porte da empresa, Licença de Funcionamento/Alvará Sanitário, Certificado de Autorização de Funcionamento, Certificado de Responsabilidade Técnica, justificativa técnica, CBPF (da Anvisa e do país de origem) para todos os fabricantes, histórico de registro, comprovante de registro no país de origem, modelos de bula e embalagens, dados de farmacovigilância, código de barras (GTIN), especificações do produto, informações sobre controle de EET, relatório técnico, relatório de experimentação terapêutica e relatório de farmacovigilância.</x:v>
      </x:c>
      <x:c r="H32" s="22" t="str">
        <x:v>What specific documents, besides forms and fees, must be submitted when filing for the registration of a new biological product?</x:v>
      </x:c>
      <x:c r="I32" s="22" t="str">
        <x:v>The company must submit: a declaration of company size, Operating License/Sanitary Permit, Certificate of Authorization, Certificate of Technical Responsibility, technical justification, GMP Certificate (from Anvisa and the country of origin) for all manufacturers, registration history, proof of registration in the country of origin, package inserts and labeling models, pharmacovigilance data, barcode (GTIN), product specifications, information on TSE control, technical report, therapeutic experimentation report, and pharmacovigilance report.</x:v>
      </x:c>
      <x:c r="J32" s="22" t="str">
        <x:v>RDC 55/2010, Art. 30</x:v>
      </x:c>
      <x:c r="K32" s="22" t="str">
        <x:v>Art. 30. No ato do protocolo de pedido de registro de um produto biológico novo ou produto biológico, a empresa solicitante deverá protocolar um processo único, apresentando os seguintes documentos: I - formulários de petição de registro - FP1 e FP2, devidamente preenchidos; II - via original do comprovante de pagamento da taxa de fiscalização de vigilância sanitária, devidamente autenticada e/ou carimbada pelo banco, ou comprovante de isenção quando for o caso; III - declaração do enquadramento do porte (capacidade econômica) da empresa; IV - cópia da Licença de Funcionamento da Empresa e/ou do Alvará Sanitário; V - cópia do Certificado de Autorização de Funcionamento da Empresa ou de sua publicação em Diário Oficial da União (DOU); VI - cópia do Certificado de Responsabilidade Técnica atualizado, emitido pelo Conselho Regional de Farmácia, comprovando que a empresa solicitante e/ou fabricante tem assistência do farmacêutico responsável habilitado para aquele fim; VII - justificativa técnica para o registro do produto; VIII - cópia do Certificado de Boas Práticas de Fabricação (CBPF) expedido pela Anvisa para todos os fabricantes do princípio ativo, do produto biológico a granel, do produto biológico em sua embalagem primária, do produto biológico terminado, do diluente e do adjuvante; IX - cópia do CBPF, emitido pela autoridade sanitária competente do país onde se localiza o fabricante do princípio ativo, do produto biológico a granel, do produto biológico em sua embalagem primária, do produto biológico terminado, do diluente e do adjuvante; X - histórico da situação de registro do produto biológico em outros países, quando for o caso; XI - cópia do comprovante de registro no país de origem do produto biológico, emitido pela respectiva Autoridade Sanitária competente; XII - cópia do modelo de bula aprovada pela autoridade sanitária competente do país de origem, acompanhada de tradução juramentada; XIII - modelos de bula e embalagens primária e secundária, de acordo com a legislação vigente; XIV - dados de farmacovigilância atualizados, de acordo com a legislação sanitária vigente, obtidos de estudos clínicos e da comercialização do produto, quando aplicável; XV - código de barras (GTIN), para toda(s) a(s) apresentação(ões) ou mecanismos de identificação e segurança que possibilitem o rastreamento do produto de acordo com a legislação sanitária vigente; XVI - cópia do compêndio nacional, internacional ou interno da empresa com a determinação das especificações do produto biológico terminado; XVII - informações adicionais de acordo com a legislação vigente sobre o controle de EET, quando aplicável; XVIII - relatório técnico; XIX - relatório de experimentação terapêutica; e XX - relatório de farmacovigilância. Biológico</x:v>
      </x:c>
      <x:c r="L32" s="21" t="str"/>
      <x:c r="M32" s="21" t="str"/>
      <x:c r="N32" s="21" t="str"/>
      <x:c r="O32" s="21" t="str"/>
      <x:c r="P32" s="21" t="str"/>
      <x:c r="Q32" s="22" t="str"/>
      <x:c r="R32" s="22" t="str"/>
      <x:c r="S32" s="22" t="str"/>
    </x:row>
    <x:row r="33" ht="88.5" customHeight="1">
      <x:c r="A33" s="23" t="n">
        <x:v>32</x:v>
      </x:c>
      <x:c r="B33" s="23" t="str">
        <x:v>DIRECT_66</x:v>
      </x:c>
      <x:c r="C33" s="23" t="str">
        <x:v>Direct</x:v>
      </x:c>
      <x:c r="D33" s="23" t="str">
        <x:v>direct_article</x:v>
      </x:c>
      <x:c r="E33" s="23" t="str">
        <x:v>Yes</x:v>
      </x:c>
      <x:c r="F33" s="22" t="str">
        <x:v>Quais atividades o patrocinador primário não pode delegar ao investigador-patrocinador em um ensaio clínico?</x:v>
      </x:c>
      <x:c r="G33" s="22" t="str">
        <x:v>O patrocinador primário não pode delegar atividades de garantia da qualidade, auditorias e monitoria dos ensaios clínicos ao investigador-patrocinador.</x:v>
      </x:c>
      <x:c r="H33" s="22" t="str">
        <x:v>Which activities cannot be delegated by the primary sponsor to the investigator-sponsor in a clinical trial?</x:v>
      </x:c>
      <x:c r="I33" s="22" t="str">
        <x:v>The primary sponsor cannot delegate quality assurance, audits, and clinical trial monitoring activities to the investigator-sponsor.</x:v>
      </x:c>
      <x:c r="J33" s="22" t="str">
        <x:v>RDC 945/2024, Art. 19</x:v>
      </x:c>
      <x:c r="K33" s="22" t="str">
        <x:v>Art. 19. No caso de ensaio clínico de iniciativa do investigador, a instituição com a qual ele tenha vínculo será o patrocinador primário. § 1º O patrocinador primário pode delegar responsabilidades ao investigador, que será responsável pela condução do ensaio clínico na instituição e, nesse caso, o investigadorpatrocinador será o patrocinador secundário. § 2º Em caso de delegação de responsabilidades e atividades, um documento escrito deve ser firmado entre as partes. § 3º O patrocinador primário não pode delegar atividades de garantia da qualidade, auditorias e monitoria dos ensaios clínicos ao investigador-patrocinador, mas pode delegá-las a uma ORPC. § 4º O patrocinador primário deve apresentar estrutura própria ou terceirizada com, no mínimo, as seguintes unidades: gerenciamento de eventos adversos; gerenciamento do projeto; gerenciamento dos dados; treinamento; tecnologia da informação; garantia da qualidade e monitoria. § 5º A instituição referida no caput deve ser aquela na qual o ensaio clínico será realizado. § 6º As responsabilidades relacionadas neste artigo não excluem o disposto nas Seções II e III deste capítulo sobre responsabilidades do patrocinador e investigador.</x:v>
      </x:c>
      <x:c r="L33" s="21" t="str"/>
      <x:c r="M33" s="21" t="str"/>
      <x:c r="N33" s="21" t="str"/>
      <x:c r="O33" s="21" t="str"/>
      <x:c r="P33" s="21" t="str"/>
      <x:c r="Q33" s="22" t="str"/>
      <x:c r="R33" s="22" t="str"/>
      <x:c r="S33" s="22" t="str"/>
    </x:row>
    <x:row r="34" ht="88.5" customHeight="1">
      <x:c r="A34" s="23" t="n">
        <x:v>33</x:v>
      </x:c>
      <x:c r="B34" s="23" t="str">
        <x:v>DIRECT_21</x:v>
      </x:c>
      <x:c r="C34" s="23" t="str">
        <x:v>Direct</x:v>
      </x:c>
      <x:c r="D34" s="23" t="str">
        <x:v>direct_article</x:v>
      </x:c>
      <x:c r="E34" s="23" t="str">
        <x:v>Yes</x:v>
      </x:c>
      <x:c r="F34" s="22" t="str">
        <x:v>O que a empresa solicitante deve apresentar no ato do protocolo de pedido de registro de um produto biológico?</x:v>
      </x:c>
      <x:c r="G34" s="22" t="str">
        <x:v>A empresa deve apresentar a documentação descrita nas Seções I e II do Capítulo III, além dos relatórios completos de todos os estudos não-clínicos e clínicos.</x:v>
      </x:c>
      <x:c r="H34" s="22" t="str">
        <x:v>What must the applicant company submit at the time of filing a registration application for a biological product?</x:v>
      </x:c>
      <x:c r="I34" s="22" t="str">
        <x:v>The company must submit the documentation described in Sections I and II of Chapter III, in addition to the complete reports of all non-clinical and clinical studies.</x:v>
      </x:c>
      <x:c r="J34" s="22" t="str">
        <x:v>RDC 55/2010, Art. 36</x:v>
      </x:c>
      <x:c r="K34" s="22" t="str">
        <x:v>Art. 36. No ato do protocolo de pedido de registro de um produto biológico a empresa solicitante deverá apresentar, além do disposto na documentação descrita nas Seções I e II deste Capítulo, os relatórios completos de todos os estudos não-clínicos e clínicos, conforme disposto nesta Resolução. VIA DE DESENVOLVIMENTO INDIVIDUAL Art 37. No ato do protocolo de pedido de registro de um produto biológico pela via de desenvolvimento individual, a empresa solicitante deverá apresentar a documentação descrita nas Seções I, II, e VI do artigo deverá ser complementada com a documentação descrita na</x:v>
      </x:c>
      <x:c r="L34" s="21" t="str"/>
      <x:c r="M34" s="21" t="str"/>
      <x:c r="N34" s="21" t="str"/>
      <x:c r="O34" s="21" t="str"/>
      <x:c r="P34" s="21" t="str"/>
      <x:c r="Q34" s="22" t="str"/>
      <x:c r="R34" s="22" t="str"/>
      <x:c r="S34" s="22" t="str"/>
    </x:row>
    <x:row r="35" ht="88.5" customHeight="1">
      <x:c r="A35" s="23" t="n">
        <x:v>34</x:v>
      </x:c>
      <x:c r="B35" s="23" t="str">
        <x:v>DIRECT_01</x:v>
      </x:c>
      <x:c r="C35" s="23" t="str">
        <x:v>Direct</x:v>
      </x:c>
      <x:c r="D35" s="23" t="str">
        <x:v>direct_article</x:v>
      </x:c>
      <x:c r="E35" s="23" t="str">
        <x:v>Yes</x:v>
      </x:c>
      <x:c r="F35" s="22" t="str">
        <x:v>Quais medidas a Anvisa pode determinar caso identifique irregularidades durante uma inspeção em Boas Práticas Clínicas (BPC)?</x:v>
      </x:c>
      <x:c r="G35" s="22" t="str">
        <x:v>A Anvisa pode determinar a interrupção temporária do ensaio clínico, o cancelamento definitivo do ensaio no centro específico, o cancelamento definitivo em todos os centros no Brasil, ou a invalidação dos dados provenientes de centros e ensaios em desacordo com as BPC.</x:v>
      </x:c>
      <x:c r="H35" s="22" t="str">
        <x:v>What measures can Anvisa determine if it identifies irregularities during a Good Clinical Practice (GCP) inspection?</x:v>
      </x:c>
      <x:c r="I35" s="22" t="str">
        <x:v>Anvisa may determine the temporary interruption of the clinical trial, the definitive cancellation of the trial at the specific center, the definitive cancellation in all centers in Brazil, or the invalidation of data from centers and trials not in compliance with GCP.</x:v>
      </x:c>
      <x:c r="J35" s="22" t="str">
        <x:v>RDC 9/2015, Art. 71</x:v>
      </x:c>
      <x:c r="K35" s="22" t="str">
        <x:v>Art. 71 . Com o objetivo de garantir a proteção dos direitos, seguranç a e bem -estar dos participantes do ensaio clínico, bem como a precisão e confiabilidade dos dados a serem obtidos ou submetidos para o registro sanitário, a Anvisa poderá realizar inspeções em BPC nos centros de ensaios clínicos, patrocinador, ORPC, labora tórios e em outras instituições envolvidas no desenvolvimento do medicamento experimental para verificar o grau de adesão à legislação brasileira vigente e o cumprimento das BPC, além de assegurar os direitos e deveres que dizem respeito à comunidade cient ífica e ao Estado. §1º As inspeções em BPC seguirão as diretrizes harmonizadas no Documento das Américas, Manual de Boas Práticas Clínicas da Conferência Internacional de Harmon ização (Documento E6) e em normas específic as de inspeção em BPC publicada s pela Anvisa . §2º Dependendo do resultado da inspeção em BPC a Anvisa poderá determinar : I- a interrupção temporária do ensaio clínico; II- o cancelamento definitivo do ensa io clínico no centro em questão; III- o cancelamento definitivo do ensaio clín ico em todos os centros no Brasil ; ou IV- a invalidação dos dados provenientes dos centros e ensaios clínicos que não estão em conformidade com as BPC. Produtos sob Investigação</x:v>
      </x:c>
      <x:c r="L35" s="21" t="str"/>
      <x:c r="M35" s="21" t="str"/>
      <x:c r="N35" s="21" t="str"/>
      <x:c r="O35" s="21" t="str"/>
      <x:c r="P35" s="21" t="str"/>
      <x:c r="Q35" s="22" t="str"/>
      <x:c r="R35" s="22" t="str"/>
      <x:c r="S35" s="22" t="str"/>
    </x:row>
    <x:row r="36" ht="88.5" customHeight="1">
      <x:c r="A36" s="23" t="n">
        <x:v>35</x:v>
      </x:c>
      <x:c r="B36" s="23" t="str">
        <x:v>DIRECT_16</x:v>
      </x:c>
      <x:c r="C36" s="23" t="str">
        <x:v>Direct</x:v>
      </x:c>
      <x:c r="D36" s="23" t="str">
        <x:v>direct_article</x:v>
      </x:c>
      <x:c r="E36" s="23" t="str">
        <x:v>Yes</x:v>
      </x:c>
      <x:c r="F36" s="22" t="str">
        <x:v>Em quais situações um produto biológico não pode ser considerado comparável pela via de desenvolvimento por comparabilidade?</x:v>
      </x:c>
      <x:c r="G36" s="22" t="str">
        <x:v>Um produto não é considerado comparável quando os procedimentos analíticos utilizados não forem suficientes para apontar diferenças relevantes que impactem a segurança e eficácia, ou quando a relação entre atributos de qualidade específicos, segurança e eficácia não estiver estabelecida.</x:v>
      </x:c>
      <x:c r="H36" s="22" t="str">
        <x:v>In what situations can a biological product not be considered comparable via the comparability development pathway?</x:v>
      </x:c>
      <x:c r="I36" s="22" t="str">
        <x:v>A product is not considered comparable when the analytical procedures used are insufficient to identify relevant differences that could impact safety and efficacy, or when the relationship between specific quality attributes, safety, and efficacy is not established.</x:v>
      </x:c>
      <x:c r="J36" s="22" t="str">
        <x:v>RDC 55/2010, Art. 43</x:v>
      </x:c>
      <x:c r="K36" s="22" t="str">
        <x:v>Art. 43. No ato do protocolo de pedido de registro de um produto biológico pela via de desenvolvimento por comparabilidade, além da documentação descrita nas Seções I e II do I - relatório com dados sobre o produto biológico, sendo obrigatórias as seguintes informações: a) descrição das técnicas analíticas utilizadas para detectar diferenças potenciais entre o produto biológico e o produto biológico comparador; e b) dados da caracterização biológica e físico-química relacionados aos atributos de qualidade do produto biológico; II - declaração indicando o nome do produto biológico comparador; III - declaração com comprovação de que o mesmo produto biológico comparador foi utilizado ao longo dos estudos de desenvolvimento do produto biológico; IV - informações sobre o sistema de expressão utilizado para a fabricação do produto biológico e produto biológico comparador; V - comparação das moléculas do produto biológico e produto biológico comparador; VI - relatórios dos resultados das análises comparativas entre os princípios ativos sempre que necessário; VII - relatório contendo descrição detalhada das etapas do exercício de comparabilidade, com indicação da capacidade de detectar diferenças nos atributos de qualidade entre o produto biológico e o produto biológico comparador; VIII - relatórios dos estudos de estabilidade comparativos, gerados em condições aceleradas e de estresse, de acordo com a legislação vigente; IX - relatório contendo descrição das diferenças observadas no perfil de pureza e impureza entre o produto biológico e o produto biológico comparador; X - avaliação dos contaminantes e impurezas identificados no produto biológico, com discussão do potencial impacto na qualidade, segurança e eficácia; XI - caracterização analítica do produto biológico e do produto biológico comparador; XII - resultados dos ensaios biológicos comparativos necessários para a determinação do grau de comparabilidade; e XIII - relatório conclusivo com demonstração da comparabilidade, contendo informações suficientes para predizer se as diferenças detectadas nos atributos de qualidade resultam em impactos adversos na segurança e eficácia do produto biológico. § 1º Caso seja necessário isolar a substância ativa do produto biológico comparador utilizado no exercício de comparabilidade, a empresa solicitante do registro deve apresentar estudos que demonstrem que o princípio ativo não foi alterado pelo processo de isolamento. § 2º Um produto biológico não pode ser considerado comparável quando os procedimentos analíticos utilizados não forem suficientes para apontar diferenças relevantes, que possam impactar a segurança e eficácia do produto e/ou a relação entre os atributos de qualidade específicos, segurança e eficácia não estiver estabelecida. § 3º Todos os estudos do programa de desenvolvimento do produto biológico devem ser de natureza comparativa.</x:v>
      </x:c>
      <x:c r="L36" s="21" t="str"/>
      <x:c r="M36" s="21" t="str"/>
      <x:c r="N36" s="21" t="str"/>
      <x:c r="O36" s="21" t="str"/>
      <x:c r="P36" s="21" t="str"/>
      <x:c r="Q36" s="22" t="str"/>
      <x:c r="R36" s="22" t="str"/>
      <x:c r="S36" s="22" t="str"/>
    </x:row>
    <x:row r="37" ht="88.5" customHeight="1">
      <x:c r="A37" s="23" t="n">
        <x:v>36</x:v>
      </x:c>
      <x:c r="B37" s="23" t="str">
        <x:v>COMPLEX_01</x:v>
      </x:c>
      <x:c r="C37" s="23" t="str">
        <x:v>Complex</x:v>
      </x:c>
      <x:c r="D37" s="23" t="str">
        <x:v>exception</x:v>
      </x:c>
      <x:c r="E37" s="23" t="str">
        <x:v>Yes</x:v>
      </x:c>
      <x:c r="F37" s="22" t="str">
        <x:v>Quais são as condições obrigatórias para que um patrocinador cancele ou suspenda um DDCM ou ensaio clínico, e o que ocorre se o cancelamento for motivado por segurança?</x:v>
      </x:c>
      <x:c r="G37" s="22" t="str">
        <x:v>O patrocinador deve encaminhar justificativas técnico-científicas e um plano de acompanhamento dos participantes. Se cancelado por segurança, deve justificar tecnicamente e apresentar medidas de mitigação de risco. O cancelamento do DDCM impede a continuação de qualquer ensaio clínico relacionado no País.</x:v>
      </x:c>
      <x:c r="H37" s="22" t="str">
        <x:v>What are the mandatory conditions for a sponsor to cancel or suspend a DDCM or clinical trial, and what happens if the cancellation is motivated by safety?</x:v>
      </x:c>
      <x:c r="I37" s="22" t="str">
        <x:v>The sponsor must submit technical-scientific justifications and a follow-up plan for participants. If cancelled for safety, they must provide technical justification and measures for risk mitigation. Cancellation of a DDCM prohibits the continuation of any related clinical trial in the country.</x:v>
      </x:c>
      <x:c r="J37" s="22" t="str">
        <x:v>RDC 9/2015, Art. 50</x:v>
      </x:c>
      <x:c r="K37" s="22" t="str">
        <x:v>Art. 50 . O patrocina dor pode cancelar ou suspender um DDCM ou ensaio clínico a qualquer momento, desde que encaminhadas as devidas justificativas técnico -científicas, bem como um plano de acompanhamento dos participantes do (s) ensaio (s) clínico (s) já iniciado (s). §1º Uma vez cancelado um DDCM, nenhum ensaio clínico , relacionado a ele, poderá ser continuado no País. §2º Caso um DDCM ou ensaio clínico seja cancelado por motivos de segurança, o patrocinador deve justificar técnic a e cientificamente as razões para o cancelamento e apresentar as medidas para minimização/mitigação de r isco aos participantes do (s) ensaio (s) clínico (s). §3º As suspensões e cancelamentos de ensaio clínico ou de DDCM devem ser submetidas à Anvisa na forma de petição secundária anexada ao respectivo processo.</x:v>
      </x:c>
      <x:c r="L37" s="21" t="str"/>
      <x:c r="M37" s="21" t="str"/>
      <x:c r="N37" s="21" t="str"/>
      <x:c r="O37" s="21" t="str"/>
      <x:c r="P37" s="21" t="str"/>
      <x:c r="Q37" s="22" t="str"/>
      <x:c r="R37" s="22" t="str"/>
      <x:c r="S37" s="22" t="str"/>
    </x:row>
    <x:row r="38" ht="88.5" customHeight="1">
      <x:c r="A38" s="23" t="n">
        <x:v>37</x:v>
      </x:c>
      <x:c r="B38" s="23" t="str">
        <x:v>DIRECT_37</x:v>
      </x:c>
      <x:c r="C38" s="23" t="str">
        <x:v>Direct</x:v>
      </x:c>
      <x:c r="D38" s="23" t="str">
        <x:v>direct_article</x:v>
      </x:c>
      <x:c r="E38" s="23" t="str">
        <x:v>Yes</x:v>
      </x:c>
      <x:c r="F38" s="22" t="str">
        <x:v>Qual é o prazo e o procedimento para que os Detentores de Registro de Medicamento notifiquem Eventos Adversos Graves à Anvisa?</x:v>
      </x:c>
      <x:c r="G38" s="22" t="str">
        <x:v>Devem ser notificados via sistema eletrônico da Anvisa em até 15 dias corridos a partir do recebimento da informação, incluindo casos de inefetividade terapêutica com risco à vida, vacinas e contraceptivos.</x:v>
      </x:c>
      <x:c r="H38" s="22" t="str">
        <x:v>What is the deadline and procedure for Marketing Authorization Holders to notify the Anvisa of Serious Adverse Events?</x:v>
      </x:c>
      <x:c r="I38" s="22" t="str">
        <x:v>They must be notified via Anvisa's electronic system within 15 calendar days from the receipt of information, including cases of therapeutic ineffectiveness representing a risk to life, vaccines, and contraceptives.</x:v>
      </x:c>
      <x:c r="J38" s="22" t="str">
        <x:v>RDC 406/2020, Art. 30</x:v>
      </x:c>
      <x:c r="K38" s="22" t="str">
        <x:v>Art. 30. Os Detentores de Registro de Medicamento devem notificar por meio do sistema eletrônico de Notificação disponibilizado pela Anvisa, todos os Eventos Adversos Graves (esperados e inesperados), relatados de forma espontânea ou solicitada, ocorridos em território nacional, no prazo máximo de 15 (quinze) dias corridos, contados da data de recebimento da informação relacionada à ocorrência. § 1º Os casos de Inefetividade Terapêutica que representem risco à vida, segundo avaliação do próprio Detentor de Registro de Medicamento, bem como todos aqueles relacionados a vacinas e contraceptivos, devem ser notificados no prazo estabelecido no caput deste artigo. § 2º Os dados complementares referentes à evolução dos casos de que trata este artigo devem ser notificados por meio do sistema eletrônico de Notificação disponibilizado pela Anvisa, na forma definida no caput deste artigo. § 3º Devem-se buscar informações adicionais sobre as notificações que necessitam de seguimento, com priorização para graves e inesperadas, seguidas das graves e esperadas e, por fim, das não graves e inesperadas. § 4º O não cumprimento dos prazos referentes às Notificações de que trata este artigo não desobriga seu posterior envio à autoridade sanitária competente. § 5º O Detentor de Registro de Medicamento deve designar um gestor do sistema eletrônico de Notificação disponibilizado pela Anvisa, responsável pelo gerenciamento das senhas de acesso.</x:v>
      </x:c>
      <x:c r="L38" s="21" t="str"/>
      <x:c r="M38" s="21" t="str"/>
      <x:c r="N38" s="21" t="str"/>
      <x:c r="O38" s="21" t="str"/>
      <x:c r="P38" s="21" t="str"/>
      <x:c r="Q38" s="22" t="str"/>
      <x:c r="R38" s="22" t="str"/>
      <x:c r="S38" s="22" t="str"/>
    </x:row>
    <x:row r="39" ht="88.5" customHeight="1">
      <x:c r="A39" s="23" t="n">
        <x:v>38</x:v>
      </x:c>
      <x:c r="B39" s="23" t="str">
        <x:v>DIRECT_08</x:v>
      </x:c>
      <x:c r="C39" s="23" t="str">
        <x:v>Direct</x:v>
      </x:c>
      <x:c r="D39" s="23" t="str">
        <x:v>direct_article</x:v>
      </x:c>
      <x:c r="E39" s="23" t="str">
        <x:v>Yes</x:v>
      </x:c>
      <x:c r="F39" s="22" t="str">
        <x:v>A transferência de funções do patrocinador para uma ORPC exime o patrocinador da responsabilidade pela integridade dos dados?</x:v>
      </x:c>
      <x:c r="G39" s="22" t="str">
        <x:v>Não, a transferência não afasta a responsabilidade definitiva do patrocinador pela qualidade e integridade dos dados do ensaio clínico.</x:v>
      </x:c>
      <x:c r="H39" s="22" t="str">
        <x:v>Does the transfer of functions from the sponsor to a CRO exempt the sponsor from responsibility for data integrity?</x:v>
      </x:c>
      <x:c r="I39" s="22" t="str">
        <x:v>No, the transfer does not remove the sponsor's ultimate responsibility for the quality and integrity of the clinical trial data.</x:v>
      </x:c>
      <x:c r="J39" s="22" t="str">
        <x:v>RDC 9/2015, Art. 20</x:v>
      </x:c>
      <x:c r="K39" s="22" t="str">
        <x:v>Art. 20. O patrocinador pode transferir suas funções para uma ORPC . §1º A transferência de que trata o caput não afasta a responsabilidade definitiva do patroci nador pela qualidade e i ntegridade dos dados do ensaio clínico . §2° Quaisquer funçõ es relacionadas ao ensaio clínico que sejam transferidas a uma ORPC e assumidas por esta devem ser especificadas por escrito em documento assinado pelo patrocinador e ORPC.</x:v>
      </x:c>
      <x:c r="L39" s="21" t="str"/>
      <x:c r="M39" s="21" t="str"/>
      <x:c r="N39" s="21" t="str"/>
      <x:c r="O39" s="21" t="str"/>
      <x:c r="P39" s="21" t="str"/>
      <x:c r="Q39" s="22" t="str"/>
      <x:c r="R39" s="22" t="str"/>
      <x:c r="S39" s="22" t="str"/>
    </x:row>
    <x:row r="40" ht="88.5" customHeight="1">
      <x:c r="A40" s="23" t="n">
        <x:v>39</x:v>
      </x:c>
      <x:c r="B40" s="23" t="str">
        <x:v>DIRECT_19</x:v>
      </x:c>
      <x:c r="C40" s="23" t="str">
        <x:v>Direct</x:v>
      </x:c>
      <x:c r="D40" s="23" t="str">
        <x:v>direct_article</x:v>
      </x:c>
      <x:c r="E40" s="23" t="str">
        <x:v>Yes</x:v>
      </x:c>
      <x:c r="F40" s="22" t="str">
        <x:v>Quais são os requisitos para a escolha de um produto biológico comparador caso o produto original esteja indisponível no mercado?</x:v>
      </x:c>
      <x:c r="G40" s="22" t="str">
        <x:v>A escolha deve ser previamente discutida e anuída pela Anvisa, devendo ser um produto biológico novo registrado por autoridade regulatória com critérios técnico-científicos semelhantes aos da Anvisa e com possibilidade de acesso total e irrestrito às informações de registro.</x:v>
      </x:c>
      <x:c r="H40" s="22" t="str">
        <x:v>What are the requirements for selecting a comparator biological product if the original product is unavailable on the market?</x:v>
      </x:c>
      <x:c r="I40" s="22" t="str">
        <x:v>The choice must be previously discussed and agreed upon by Anvisa, and it must be a new biological product registered by a regulatory authority that adopts technical-scientific criteria similar to Anvisa's, with the possibility of full and unrestricted access to registration information for Anvisa.</x:v>
      </x:c>
      <x:c r="J40" s="22" t="str">
        <x:v>RDC 55/2010, Art. 27</x:v>
      </x:c>
      <x:c r="K40" s="22" t="str">
        <x:v>Art. 27. O produto biológico a ser utilizado como comparador no exercício de comparabilidade deverá ser o produto registrado na Anvisa, cujo registro tenha sido embasado por um dossiê completo. § 1º Em caso de comprovada indisponibilidade comercial do produto biológico comparador no mercado nacional e internacional, a eleição do medicamento a ser utilizado no exercício de comparabilidade deverá ser previamente discutida e anuída pela Anvisa. § 2º Na situação prevista no parágrafo anterior, será candidato a comparador o produto biológico novo registrado por outra autoridade regulatória que adote critérios técnico-científicos semelhantes aos da Anvisa e quando haja possibilidade de acesso total e irrestrito às informações de registro para a Anvisa. § 3º O mesmo produto biológico comparador deverá ser utilizado em todas as etapas do exercício de comparabilidade.</x:v>
      </x:c>
      <x:c r="L40" s="21" t="str"/>
      <x:c r="M40" s="21" t="str"/>
      <x:c r="N40" s="21" t="str"/>
      <x:c r="O40" s="21" t="str"/>
      <x:c r="P40" s="21" t="str"/>
      <x:c r="Q40" s="22" t="str"/>
      <x:c r="R40" s="22" t="str"/>
      <x:c r="S40" s="22" t="str"/>
    </x:row>
    <x:row r="41" ht="88.5" customHeight="1">
      <x:c r="A41" s="23" t="n">
        <x:v>40</x:v>
      </x:c>
      <x:c r="B41" s="23" t="str">
        <x:v>DIRECT_29</x:v>
      </x:c>
      <x:c r="C41" s="23" t="str">
        <x:v>Direct</x:v>
      </x:c>
      <x:c r="D41" s="23" t="str">
        <x:v>direct_article</x:v>
      </x:c>
      <x:c r="E41" s="23" t="str">
        <x:v>Yes</x:v>
      </x:c>
      <x:c r="F41" s="22" t="str">
        <x:v>Como deve ser classificado um dispositivo médico que não se destina a ser utilizado exclusiva ou principalmente em uma parte específica do corpo?</x:v>
      </x:c>
      <x:c r="G41" s="22" t="str">
        <x:v>O dispositivo deve ser considerado e classificado com base na utilização mais crítica.</x:v>
      </x:c>
      <x:c r="H41" s="22" t="str">
        <x:v>How should a medical device that is not intended to be used exclusively or primarily on a specific part of the body be classified?</x:v>
      </x:c>
      <x:c r="I41" s="22" t="str">
        <x:v>The device must be considered and classified based on the most critical use.</x:v>
      </x:c>
      <x:c r="J41" s="22" t="str">
        <x:v>RDC 751/2022, Art. 8</x:v>
      </x:c>
      <x:c r="K41" s="22" t="str">
        <x:v>Art. 8º A aplicação das regras de classificação rege-se pela finalidade pretendida dos dispositivos médicos, com exceção dos dispositivos para diagnóstico in vitro, que são regidos por regras de classificação específicas. § 1º Se o dispositivo em questão se destinar a ser utilizado em combinação com outro dispositivo, as regras de classificação são aplicáveis separadamente a cada um deles. § 2º Os acessórios de um dispositivo devem ser classificados por si mesmos, separadamente do dispositivo com o qual são utilizados. § 3º O software que comanda um dispositivo ou influencia o seu uso é classificado na mesma classe desse dispositivo. § 4º Se o software (SaMD) for independente de qualquer outro dispositivo, deve ser classificado independentemente. § 5º Se o dispositivo não se destinar a ser utilizado exclusiva ou principalmente em uma determinada parte do corpo, deve ser considerado e classificado com base na utilização mais crítica. § 6º Caso a um mesmo dispositivo sejam aplicáveis várias regras ou, dentro da mesma regra, várias sub-regras, baseadas na sua finalidade pretendida, aplicam-se a regra e a sub-regra mais rigorosas que conduzem à classificação superior. § 7º No cálculo da duração de uso "de forma contínua" deve-se considerar: a) toda a duração de uso do mesmo dispositivo sem levar em conta as interrupções temporárias de uso durante um procedimento ou a remoção temporária para fins de limpeza ou desinfecção do dispositivo, devendo-se determinar se a interrupção de uso, ou a remoção, é temporária em função da duração do uso anterior e posterior ao período em que o uso é interrompido ou que o dispositivo é removido; e b) a utilização acumulada de um dispositivo destinado pelo fabricante a ser substituído imediatamente por outro do mesmo tipo. § 8º Considera-se que um dispositivo permite um diagnóstico direto quando proporciona, por si próprio, o diagnóstico da doença ou da condição em questão, ou quando fornece informações decisivas para o diagnóstico.</x:v>
      </x:c>
      <x:c r="L41" s="21" t="str"/>
      <x:c r="M41" s="21" t="str"/>
      <x:c r="N41" s="21" t="str"/>
      <x:c r="O41" s="21" t="str"/>
      <x:c r="P41" s="21" t="str"/>
      <x:c r="Q41" s="22" t="str"/>
      <x:c r="R41" s="22" t="str"/>
      <x:c r="S41" s="22" t="str"/>
    </x:row>
    <x:row r="42" ht="88.5" customHeight="1">
      <x:c r="A42" s="23" t="n">
        <x:v>41</x:v>
      </x:c>
      <x:c r="B42" s="23" t="str">
        <x:v>DIRECT_35</x:v>
      </x:c>
      <x:c r="C42" s="23" t="str">
        <x:v>Direct</x:v>
      </x:c>
      <x:c r="D42" s="23" t="str">
        <x:v>direct_article</x:v>
      </x:c>
      <x:c r="E42" s="23" t="str">
        <x:v>Yes</x:v>
      </x:c>
      <x:c r="F42" s="22" t="str">
        <x:v>O dossiê técnico de um dispositivo médico deve ser protocolado na Anvisa no momento da notificação?</x:v>
      </x:c>
      <x:c r="G42" s="22" t="str">
        <x:v>Não. O dossiê técnico não deve ser protocolado na Anvisa, devendo permanecer de posse da empresa detentora da notificação para fins de fiscalização pelo Sistema Nacional de Vigilância Sanitária.</x:v>
      </x:c>
      <x:c r="H42" s="22" t="str">
        <x:v>Must the technical dossier of a medical device be filed with Anvisa at the time of notification?</x:v>
      </x:c>
      <x:c r="I42" s="22" t="str">
        <x:v>No. The technical dossier must not be filed with Anvisa; it must remain in the possession of the company holding the notification for inspection purposes by the National Health Surveillance System.</x:v>
      </x:c>
      <x:c r="J42" s="22" t="str">
        <x:v>RDC 751/2022, Art. 56</x:v>
      </x:c>
      <x:c r="K42" s="22" t="str">
        <x:v>Art. 56. É responsabilidade do detentor da notificação de dispositivo médico manter o dossiê técnico atualizado, contendo todos os documentos e informações indicados nesta Resolução, para fins de fiscalização por parte do Sistema Nacional de Vigilância Sanitária. § 1º Este Dossiê Técnico não deve ser protocolado na Anvisa como parte da solicitação de notificação do produto, devendo permanecer de posse da empresa detentora da notificação. § 2º O Dossiê Técnico não precisa corresponder a um arquivo físico ou eletrônico contendo todas as informações abaixo descritas, podendo ser composto por referências a documentos e informações que compõem outros arquivos ou registros do Sistema de Qualidade da empresa, os quais deverão estar disponíveis para fiscalização do Sistema Nacional de Vigilância Sanitária. § 3º Em casos específicos, quando averiguações e investigações forem necessárias, poderá ser solicitado o envio do Dossiê Técnico à Anvisa.</x:v>
      </x:c>
      <x:c r="L42" s="21" t="str"/>
      <x:c r="M42" s="21" t="str"/>
      <x:c r="N42" s="21" t="str"/>
      <x:c r="O42" s="21" t="str"/>
      <x:c r="P42" s="21" t="str"/>
      <x:c r="Q42" s="22" t="str"/>
      <x:c r="R42" s="22" t="str"/>
      <x:c r="S42" s="22" t="str"/>
    </x:row>
    <x:row r="43" ht="88.5" customHeight="1">
      <x:c r="A43" s="23" t="n">
        <x:v>42</x:v>
      </x:c>
      <x:c r="B43" s="23" t="str">
        <x:v>UNANS_03</x:v>
      </x:c>
      <x:c r="C43" s="23" t="str">
        <x:v>Unanswerable</x:v>
      </x:c>
      <x:c r="D43" s="23" t="str">
        <x:v>unanswerable_individual_dose</x:v>
      </x:c>
      <x:c r="E43" s="23" t="str">
        <x:v>No</x:v>
      </x:c>
      <x:c r="F43" s="22" t="str">
        <x:v>Qual dose individual de um produto biológico devo usar?</x:v>
      </x:c>
      <x:c r="G43" s="22" t="str">
        <x:v>Os documentos recuperados nao fornecem informacao suficiente para responder.</x:v>
      </x:c>
      <x:c r="H43" s="22" t="str">
        <x:v>What individual dose of a biological product should I use?</x:v>
      </x:c>
      <x:c r="I43" s="22" t="str">
        <x:v>The retrieved documents do not provide enough information to answer.</x:v>
      </x:c>
      <x:c r="J43" s="22" t="str"/>
      <x:c r="K43" s="22" t="str"/>
      <x:c r="L43" s="21" t="str"/>
      <x:c r="M43" s="21" t="str"/>
      <x:c r="N43" s="21" t="str"/>
      <x:c r="O43" s="21" t="str"/>
      <x:c r="P43" s="21" t="str"/>
      <x:c r="Q43" s="22" t="str"/>
      <x:c r="R43" s="22" t="str"/>
      <x:c r="S43" s="22" t="str"/>
    </x:row>
    <x:row r="44" ht="88.5" customHeight="1">
      <x:c r="A44" s="23" t="n">
        <x:v>43</x:v>
      </x:c>
      <x:c r="B44" s="23" t="str">
        <x:v>DIRECT_30</x:v>
      </x:c>
      <x:c r="C44" s="23" t="str">
        <x:v>Direct</x:v>
      </x:c>
      <x:c r="D44" s="23" t="str">
        <x:v>direct_article</x:v>
      </x:c>
      <x:c r="E44" s="23" t="str">
        <x:v>Yes</x:v>
      </x:c>
      <x:c r="F44" s="22" t="str">
        <x:v>Quais são os requisitos documentais para a declaração do fabricante legal exigida no registro de dispositivos médicos importados?</x:v>
      </x:c>
      <x:c r="G44" s="22" t="str">
        <x:v>A declaração deve conter a razão social e endereço completo do fabricante e da empresa solicitante, autorização expressa para representar e comercializar no Brasil, e afirmação de conhecimento e atendimento aos requisitos de Boas Práticas de Fabricação (RDC nº 665/2022).</x:v>
      </x:c>
      <x:c r="H44" s="22" t="str">
        <x:v>What are the documentary requirements for the legal manufacturer's declaration required for the registration of imported medical devices?</x:v>
      </x:c>
      <x:c r="I44" s="22" t="str">
        <x:v>The declaration must contain the corporate name and full address of the manufacturer and the applicant company, express authorization to represent and market in Brazil, and a statement of knowledge and compliance with Good Manufacturing Practices requirements (RDC No. 665/2022).</x:v>
      </x:c>
      <x:c r="J44" s="22" t="str">
        <x:v>RDC 751/2022, Art. 14</x:v>
      </x:c>
      <x:c r="K44" s="22" t="str">
        <x:v>Art. 14. O solicitante para peticionar o registro de dispositivo médico deve proceder com o pagamento da taxa correspondente e apresentar à Anvisa, os seguintes documentos: I - formulário para registro de dispositivo médico, devidamente preenchido, disponível no portal eletrônico da Anvisa; II - Dossiê Técnico, conforme disposto no III - para dispositivos médicos importados: declaração emitida pelo fabricante legal, consularizada ou apostilada, redigida em português, inglês ou espanhol ou acompanhada de tradução juramentada, há no máximo dois anos quando não existir validade expressa indicada no documento, autorizando a empresa solicitante a representar e comercializar seu(s) produto(s) no Brasil; IV - para dispositivos médicos importados: comprovante de registro ou certificado de livre comércio ou documento equivalente, outorgado pela autoridade competente do país onde o dispositivo médico é fabricado e comercializado ou apenas comercializado, emitido há no máximo dois anos quando não existir validade expressa indicada no documento, devendo ser consularizado ou apostilado, e acompanhado de tradução juramentada quando não estiver redigido em português, inglês ou espanhol; V - Certificado de Boas Práticas de Fabricação emitido pela Anvisa ou comprovante de protocolo de solicitação de Certificado de Boas Práticas de Fabricação; VI - cópia do Certificado de Conformidade emitido no âmbito do Sistema Brasileiro de Avaliação da Conformidade (SBAC), aplicável apenas para os dispositivos médicos com certificação compulsória, relacionados pela Anvisa em regulamentos específicos; e VII - comprovante do cumprimento das disposições legais determinadas em regulamentos técnicos aplicados a dispositivos médicos específicos. § 1º A declaração de que trata o inciso III deve conter a razão social e endereço completo do fabricante legal e da empresa solicitante, a autorização expressa para a empresa solicitante representar e comercializar os seus produtos no Brasil; e a afirmação acerca do conhecimento e atendimento aos requisitos de Boas Práticas de Fabricação de Produtos para Saúde estabelecidos na Resolução da Diretoria Colegiada - RDC nº 665, de 30 de março de 2022 , ou regulamento que venha substitui-la. § 2º O protocolo do pedido de Certificação de Boas Práticas de Fabricação será aceito para efeito de peticionamento, bem como início da análise nas petições de concessão de registro. § 3º O deferimento das solicitações de concessão de registro fica condicionado à publicação de Certificado de Boas Práticas de Fabricação válido emitido pela Anvisa e ao cumprimento dos demais requisitos para registro de dispositivos médicos.</x:v>
      </x:c>
      <x:c r="L44" s="21" t="str"/>
      <x:c r="M44" s="21" t="str"/>
      <x:c r="N44" s="21" t="str"/>
      <x:c r="O44" s="21" t="str"/>
      <x:c r="P44" s="21" t="str"/>
      <x:c r="Q44" s="22" t="str"/>
      <x:c r="R44" s="22" t="str"/>
      <x:c r="S44" s="22" t="str"/>
    </x:row>
    <x:row r="45" ht="88.5" customHeight="1">
      <x:c r="A45" s="23" t="n">
        <x:v>44</x:v>
      </x:c>
      <x:c r="B45" s="23" t="str">
        <x:v>DIRECT_26</x:v>
      </x:c>
      <x:c r="C45" s="23" t="str">
        <x:v>Direct</x:v>
      </x:c>
      <x:c r="D45" s="23" t="str">
        <x:v>direct_article</x:v>
      </x:c>
      <x:c r="E45" s="23" t="str">
        <x:v>Yes</x:v>
      </x:c>
      <x:c r="F45" s="22" t="str">
        <x:v>Qual é o prazo e a condição para que detentores de notificações de dispositivos médicos solicitem o reenquadramento sanitário devido à atualização das regras de classificação?</x:v>
      </x:c>
      <x:c r="G45" s="22" t="str">
        <x:v>O prazo é de 365 dias a partir da entrada em vigor da Resolução. O deferimento está condicionado à publicação de Certificado de Boas Práticas de Fabricação válido emitido pela Anvisa e ao cumprimento dos demais requisitos para registro.</x:v>
      </x:c>
      <x:c r="H45" s="22" t="str">
        <x:v>What is the deadline and condition for holders of medical device notifications to request sanitary reclassification due to the update of classification rules?</x:v>
      </x:c>
      <x:c r="I45" s="22" t="str">
        <x:v>The deadline is 365 days from the entry into force of the Resolution. Approval is conditional upon the publication of a valid Good Manufacturing Practices Certificate issued by Anvisa and compliance with other requirements for medical device registration.</x:v>
      </x:c>
      <x:c r="J45" s="22" t="str">
        <x:v>RDC 751/2022, Art. 62</x:v>
      </x:c>
      <x:c r="K45" s="22" t="str">
        <x:v>Art. 62. Fica estabelecido o prazo de 365 (trezentos e sessenta e cinco) dias, contados a partir da entrada em vigor desta Resolução, para que os detentores de notificações de dispositivos médicos protocolizem petições de reenquadramento sanitário de produtos que tiveram seu regime modificado de notificação para registro em função da atualização das regras de classificação. § 1º A petição deverá ser instruída com a mesma documentação exigida para novo registro de produto. § 2º O protocolo do pedido de Certificação de Boas Práticas de Fabricação será aceito para efeito de peticionamento, bem como início da análise nas petições de reenquadramento sanitário. § 3º O deferimento das solicitações de reenquadramento sanitário fica condicionado à publicação de Certificado de Boas Práticas de Fabricação válido emitido pela Anvisa e ao cumprimento dos demais requisitos para registro de dispositivos médicos. § 4º O não atendimento ao previsto no caput ensejará o cancelamento da notificação de produto.</x:v>
      </x:c>
      <x:c r="L45" s="21" t="str"/>
      <x:c r="M45" s="21" t="str"/>
      <x:c r="N45" s="21" t="str"/>
      <x:c r="O45" s="21" t="str"/>
      <x:c r="P45" s="21" t="str"/>
      <x:c r="Q45" s="22" t="str"/>
      <x:c r="R45" s="22" t="str"/>
      <x:c r="S45" s="22" t="str"/>
    </x:row>
    <x:row r="46" ht="88.5" customHeight="1">
      <x:c r="A46" s="23" t="n">
        <x:v>45</x:v>
      </x:c>
      <x:c r="B46" s="23" t="str">
        <x:v>UNANS_11</x:v>
      </x:c>
      <x:c r="C46" s="23" t="str">
        <x:v>Unanswerable</x:v>
      </x:c>
      <x:c r="D46" s="23" t="str">
        <x:v>unanswerable_fabricated_deadline</x:v>
      </x:c>
      <x:c r="E46" s="23" t="str">
        <x:v>No</x:v>
      </x:c>
      <x:c r="F46" s="22" t="str">
        <x:v>A RDC 751/2022 exige aprovação de dispositivos em exatamente cinco dias?</x:v>
      </x:c>
      <x:c r="G46" s="22" t="str">
        <x:v>Os documentos recuperados nao fornecem informacao suficiente para responder.</x:v>
      </x:c>
      <x:c r="H46" s="22" t="str">
        <x:v>Does RDC 751/2022 require device approval in exactly five days?</x:v>
      </x:c>
      <x:c r="I46" s="22" t="str">
        <x:v>The retrieved documents do not provide enough information to answer.</x:v>
      </x:c>
      <x:c r="J46" s="22" t="str"/>
      <x:c r="K46" s="22" t="str"/>
      <x:c r="L46" s="21" t="str"/>
      <x:c r="M46" s="21" t="str"/>
      <x:c r="N46" s="21" t="str"/>
      <x:c r="O46" s="21" t="str"/>
      <x:c r="P46" s="21" t="str"/>
      <x:c r="Q46" s="22" t="str"/>
      <x:c r="R46" s="22" t="str"/>
      <x:c r="S46" s="22" t="str"/>
    </x:row>
    <x:row r="47" ht="88.5" customHeight="1">
      <x:c r="A47" s="23" t="n">
        <x:v>46</x:v>
      </x:c>
      <x:c r="B47" s="23" t="str">
        <x:v>DIRECT_24</x:v>
      </x:c>
      <x:c r="C47" s="23" t="str">
        <x:v>Direct</x:v>
      </x:c>
      <x:c r="D47" s="23" t="str">
        <x:v>direct_article</x:v>
      </x:c>
      <x:c r="E47" s="23" t="str">
        <x:v>Yes</x:v>
      </x:c>
      <x:c r="F47" s="22" t="str">
        <x:v>Quais são os formatos exigidos para a documentação no ato do protocolo de solicitação de registro de um produto biológico?</x:v>
      </x:c>
      <x:c r="G47" s="22" t="str">
        <x:v>A empresa deve apresentar 1 via de toda a documentação solicitada e 1 CD-ROM com as informações em formato PDF, com o número de série do disco explicitado na documentação.</x:v>
      </x:c>
      <x:c r="H47" s="22" t="str">
        <x:v>What are the required formats for documentation at the time of filing a registration application for a biological product?</x:v>
      </x:c>
      <x:c r="I47" s="22" t="str">
        <x:v>The company must submit 1 copy of all requested documentation and 1 CD-ROM with the information in PDF format, with the disk serial number specified in the documentation.</x:v>
      </x:c>
      <x:c r="J47" s="22" t="str">
        <x:v>RDC 55/2010, Art. 9</x:v>
      </x:c>
      <x:c r="K47" s="22" t="str">
        <x:v>Art. 9º A empresa, ao protocolar a solicitação de registro, deve apresentar 1 (uma) via de toda a documentação solicitada e 1 (um) CD-ROM com as mesmas informações gravadas em linguagem eletrônica em formato pdf (o número de série do disco deve estar explicitado na documentação).</x:v>
      </x:c>
      <x:c r="L47" s="21" t="str"/>
      <x:c r="M47" s="21" t="str"/>
      <x:c r="N47" s="21" t="str"/>
      <x:c r="O47" s="21" t="str"/>
      <x:c r="P47" s="21" t="str"/>
      <x:c r="Q47" s="22" t="str"/>
      <x:c r="R47" s="22" t="str"/>
      <x:c r="S47" s="22" t="str"/>
    </x:row>
    <x:row r="48" ht="88.5" customHeight="1">
      <x:c r="A48" s="23" t="n">
        <x:v>47</x:v>
      </x:c>
      <x:c r="B48" s="23" t="str">
        <x:v>DIRECT_47</x:v>
      </x:c>
      <x:c r="C48" s="23" t="str">
        <x:v>Direct</x:v>
      </x:c>
      <x:c r="D48" s="23" t="str">
        <x:v>direct_article</x:v>
      </x:c>
      <x:c r="E48" s="23" t="str">
        <x:v>Yes</x:v>
      </x:c>
      <x:c r="F48" s="22" t="str">
        <x:v>Como devem ser estruturadas as responsabilidades dos envolvidos no Sistema de Farmacovigilância para evitar falhas operacionais?</x:v>
      </x:c>
      <x:c r="G48" s="22" t="str">
        <x:v>Não deve haver sobreposições não justificáveis nem lacunas nas responsabilidades dos envolvidos no sistema.</x:v>
      </x:c>
      <x:c r="H48" s="22" t="str">
        <x:v>How should the responsibilities of those involved in the Pharmacovigilance System be structured to avoid operational failures?</x:v>
      </x:c>
      <x:c r="I48" s="22" t="str">
        <x:v>There must be no unjustifiable overlaps or gaps in the responsibilities of those involved in the system.</x:v>
      </x:c>
      <x:c r="J48" s="22" t="str">
        <x:v>RDC 406/2020, Art. 19</x:v>
      </x:c>
      <x:c r="K48" s="22" t="str">
        <x:v>Art. 19. Não deve haver sobreposições não justificáveis, bem como lacunas, nas responsabilidades dos envolvidos no Sistema de Farmacovigilância do Detentor de Registro de Medicamento. Sub</x:v>
      </x:c>
      <x:c r="L48" s="21" t="str"/>
      <x:c r="M48" s="21" t="str"/>
      <x:c r="N48" s="21" t="str"/>
      <x:c r="O48" s="21" t="str"/>
      <x:c r="P48" s="21" t="str"/>
      <x:c r="Q48" s="22" t="str"/>
      <x:c r="R48" s="22" t="str"/>
      <x:c r="S48" s="22" t="str"/>
    </x:row>
    <x:row r="49" ht="88.5" customHeight="1">
      <x:c r="A49" s="23" t="n">
        <x:v>48</x:v>
      </x:c>
      <x:c r="B49" s="23" t="str">
        <x:v>DIRECT_69</x:v>
      </x:c>
      <x:c r="C49" s="23" t="str">
        <x:v>Direct</x:v>
      </x:c>
      <x:c r="D49" s="23" t="str">
        <x:v>direct_article</x:v>
      </x:c>
      <x:c r="E49" s="23" t="str">
        <x:v>Yes</x:v>
      </x:c>
      <x:c r="F49" s="22" t="str">
        <x:v>Qual é a relação entre a aprovação ética e a aprovação regulatória para o início de um ensaio clínico destinado ao registro de medicamento?</x:v>
      </x:c>
      <x:c r="G49" s="22" t="str">
        <x:v>As decisões das instâncias ética e regulatória são paralelas e independentes, mas o ensaio clínico para fins de registro de medicamento só pode ser iniciado após a aprovação de ambas.</x:v>
      </x:c>
      <x:c r="H49" s="22" t="str">
        <x:v>What is the relationship between ethical approval and regulatory approval for the initiation of a clinical trial intended for drug registration?</x:v>
      </x:c>
      <x:c r="I49" s="22" t="str">
        <x:v>The decisions of the ethical and regulatory bodies are parallel and independent; however, the clinical trial for drug registration purposes may only be initiated after approval from both.</x:v>
      </x:c>
      <x:c r="J49" s="22" t="str">
        <x:v>RDC 945/2024, Art. 8</x:v>
      </x:c>
      <x:c r="K49" s="22" t="str">
        <x:v>Art. 8º A pesquisa com seres humanos deve ser submetida à análise ética prévia, a ser realizada pelos Comitês de Ética em Pesquisa (CEPs) conforme legislação e regulamentos específicos da Instância Nacional de Ética em Pesquisa, de modo a garantir a dignidade, a segurança e o bem-estar do participante da pesquisa. § 1º A Instância Nacional de Ética em Pesquisa e os CEPs não estão vinculados à Anvisa, sendo assim, os protocolos de ensaios clínicos podem ser submetidos paralelamente à instância ética e regulatória. § 2º As decisões das instâncias ética e regulatória são paralelas e independentes, no entanto, o ensaio para fins de registro de medicamento só poderá ser iniciado após a aprovação de ambas.</x:v>
      </x:c>
      <x:c r="L49" s="21" t="str"/>
      <x:c r="M49" s="21" t="str"/>
      <x:c r="N49" s="21" t="str"/>
      <x:c r="O49" s="21" t="str"/>
      <x:c r="P49" s="21" t="str"/>
      <x:c r="Q49" s="22" t="str"/>
      <x:c r="R49" s="22" t="str"/>
      <x:c r="S49" s="22" t="str"/>
    </x:row>
    <x:row r="50" ht="88.5" customHeight="1">
      <x:c r="A50" s="23" t="n">
        <x:v>49</x:v>
      </x:c>
      <x:c r="B50" s="23" t="str">
        <x:v>DIRECT_63</x:v>
      </x:c>
      <x:c r="C50" s="23" t="str">
        <x:v>Direct</x:v>
      </x:c>
      <x:c r="D50" s="23" t="str">
        <x:v>direct_article</x:v>
      </x:c>
      <x:c r="E50" s="23" t="str">
        <x:v>Yes</x:v>
      </x:c>
      <x:c r="F50" s="22" t="str">
        <x:v>Com qual objetivo a Anvisa realiza inspeções de BPC e quais diretrizes devem ser seguidas?</x:v>
      </x:c>
      <x:c r="G50" s="22" t="str">
        <x:v>As inspeções visam garantir a proteção dos direitos, segurança e bem-estar dos participantes, além da precisão e confiabilidade dos dados. Devem seguir as diretrizes do Guia ICH E6 (R2) e normas específicas de inspeção de BPC da Anvisa.</x:v>
      </x:c>
      <x:c r="H50" s="22" t="str">
        <x:v>What is the objective of Anvisa's GCP inspections, and which guidelines must be followed?</x:v>
      </x:c>
      <x:c r="I50" s="22" t="str">
        <x:v>Inspections aim to ensure the protection of participants' rights, safety, and well-being, as well as data accuracy and reliability. They must follow the ICH E6 (R2) Guideline and specific Anvisa GCP inspection standards.</x:v>
      </x:c>
      <x:c r="J50" s="22" t="str">
        <x:v>RDC 945/2024, Art. 76</x:v>
      </x:c>
      <x:c r="K50" s="22" t="str">
        <x:v>Art. 76. Com o objetivo de garantir a proteção dos direitos, segurança e bem-estar dos participantes do ensaio clínico, bem como a precisão e confiabilidade dos dados a serem obtidos ou submetidos para o registro sanitário, a Anvisa poderá realizar inspeções de BPC nos centros de ensaios clínicos, patrocinador, ORPC, laboratórios e em outras instituições envolvidas no desenvolvimento do medicamento experimental para verificar o grau de adesão à legislação brasileira vigente e o cumprimento das BPC, além de assegurar os direitos e deveres que dizem respeito à comunidade científica e ao Estado. Parágrafo Único. As inspeções de BPC seguirão as diretrizes harmonizadas do Guia ICH E6 (R2) e suas atualizações, além de normas específicas de inspeção de BPC editadas pela Anvisa.</x:v>
      </x:c>
      <x:c r="L50" s="21" t="str"/>
      <x:c r="M50" s="21" t="str"/>
      <x:c r="N50" s="21" t="str"/>
      <x:c r="O50" s="21" t="str"/>
      <x:c r="P50" s="21" t="str"/>
      <x:c r="Q50" s="22" t="str"/>
      <x:c r="R50" s="22" t="str"/>
      <x:c r="S50" s="22" t="str"/>
    </x:row>
    <x:row r="51" ht="88.5" customHeight="1">
      <x:c r="A51" s="23" t="n">
        <x:v>50</x:v>
      </x:c>
      <x:c r="B51" s="23" t="str">
        <x:v>UNANS_17</x:v>
      </x:c>
      <x:c r="C51" s="23" t="str">
        <x:v>Unanswerable</x:v>
      </x:c>
      <x:c r="D51" s="23" t="str">
        <x:v>unanswerable_historical_reason</x:v>
      </x:c>
      <x:c r="E51" s="23" t="str">
        <x:v>No</x:v>
      </x:c>
      <x:c r="F51" s="22" t="str">
        <x:v>Por que um diretor específico votou a favor da RDC 945/2024?</x:v>
      </x:c>
      <x:c r="G51" s="22" t="str">
        <x:v>Os documentos recuperados nao fornecem informacao suficiente para responder.</x:v>
      </x:c>
      <x:c r="H51" s="22" t="str">
        <x:v>Why did a specific director vote in favor of RDC 945/2024?</x:v>
      </x:c>
      <x:c r="I51" s="22" t="str">
        <x:v>The retrieved documents do not provide enough information to answer.</x:v>
      </x:c>
      <x:c r="J51" s="22" t="str"/>
      <x:c r="K51" s="22" t="str"/>
      <x:c r="L51" s="21" t="str"/>
      <x:c r="M51" s="21" t="str"/>
      <x:c r="N51" s="21" t="str"/>
      <x:c r="O51" s="21" t="str"/>
      <x:c r="P51" s="21" t="str"/>
      <x:c r="Q51" s="22" t="str"/>
      <x:c r="R51" s="22" t="str"/>
      <x:c r="S51" s="22" t="str"/>
    </x:row>
    <x:row r="52" ht="88.5" customHeight="1">
      <x:c r="A52" s="23" t="n">
        <x:v>51</x:v>
      </x:c>
      <x:c r="B52" s="23" t="str">
        <x:v>DIRECT_07</x:v>
      </x:c>
      <x:c r="C52" s="23" t="str">
        <x:v>Direct</x:v>
      </x:c>
      <x:c r="D52" s="23" t="str">
        <x:v>direct_article</x:v>
      </x:c>
      <x:c r="E52" s="23" t="str">
        <x:v>Yes</x:v>
      </x:c>
      <x:c r="F52" s="22" t="str">
        <x:v>Por quanto tempo o patrocinador deve manter os dados do ensaio clínico em caso de descontinuação do desenvolvimento sem pedido de registro?</x:v>
      </x:c>
      <x:c r="G52" s="22" t="str">
        <x:v>O patrocinador deve manter os dados em arquivo físico ou digital por pelo menos 2 (dois) anos após a descontinuação ou conclusão formal do desenvolvimento.</x:v>
      </x:c>
      <x:c r="H52" s="22" t="str">
        <x:v>For how long must the sponsor keep clinical trial data in the event of development discontinuation without a registration request?</x:v>
      </x:c>
      <x:c r="I52" s="22" t="str">
        <x:v>The sponsor must keep the data in physical or digital files for at least 2 (two) years after the discontinuation or formal conclusion of the development.</x:v>
      </x:c>
      <x:c r="J52" s="22" t="str">
        <x:v>RDC 9/2015, Art. 11</x:v>
      </x:c>
      <x:c r="K52" s="22" t="str">
        <x:v>Art. 11 . O patrocinador deve manter os dados do ensaio clínico em arquivo, físico ou digital, por um período de 5 (cinco) anos após a última aprovação de uma solicitação de registro no Brasil. Parágrafo único. Em caso de descontinuação do desenvolvimento clínico ou de sua conclusão não seguida de pedido de registro, o patrocinador deve manter os dados do ensaio clínico em arquivo físico ou digital, por pelo menos 2 (dois) anos após a descontinuação do desenvolvimento clínico ou conclusão formal deste desenvolvimento.</x:v>
      </x:c>
      <x:c r="L52" s="21" t="str"/>
      <x:c r="M52" s="21" t="str"/>
      <x:c r="N52" s="21" t="str"/>
      <x:c r="O52" s="21" t="str"/>
      <x:c r="P52" s="21" t="str"/>
      <x:c r="Q52" s="22" t="str"/>
      <x:c r="R52" s="22" t="str"/>
      <x:c r="S52" s="22" t="str"/>
    </x:row>
    <x:row r="53" ht="88.5" customHeight="1">
      <x:c r="A53" s="23" t="n">
        <x:v>52</x:v>
      </x:c>
      <x:c r="B53" s="23" t="str">
        <x:v>COMPLEX_07</x:v>
      </x:c>
      <x:c r="C53" s="23" t="str">
        <x:v>Complex</x:v>
      </x:c>
      <x:c r="D53" s="23" t="str">
        <x:v>multi_article</x:v>
      </x:c>
      <x:c r="E53" s="23" t="str">
        <x:v>Yes</x:v>
      </x:c>
      <x:c r="F53" s="22" t="str">
        <x:v>Quais são os prazos e requisitos para notificar a Anvisa sobre a suspensão ou cancelamento de um ensaio clínico ou DDCM?</x:v>
      </x:c>
      <x:c r="G53" s="22" t="str">
        <x:v>O patrocinador deve notificar a Anvisa em até 15 dias corridos para suspensões ou cancelamentos gerais. Em casos de suspensão temporária por segurança imediata, o prazo é de 7 dias corridos, devendo justificar os motivos e explicar claramente as razões, abrangência, interrupção do tratamento e suspensão do recrutamento.</x:v>
      </x:c>
      <x:c r="H53" s="22" t="str">
        <x:v>What are the deadlines and requirements for notifying Anvisa about the suspension or cancellation of a clinical trial or DDCM?</x:v>
      </x:c>
      <x:c r="I53" s="22" t="str">
        <x:v>The sponsor must notify Anvisa within 15 calendar days for general suspensions or cancellations. For temporary suspensions as an immediate safety measure, the deadline is 7 calendar days, requiring justification of the reasons and clear explanation of the scope, treatment interruption, and suspension of participant recruitment.</x:v>
      </x:c>
      <x:c r="J53" s="22" t="str">
        <x:v>RDC 9/2015, Art. 51; RDC 9/2015, Art. 52</x:v>
      </x:c>
      <x:c r="K53" s="22" t="str">
        <x:v>Art. 51. O patrocinador deve notificar à Anvisa sobre a decisão de suspender ou cancelar um ensaio clínico ou DDCM . Após decisão de suspen são ou cancelamento , o patrocinador deve notificar à Anvisa no prazo máximo de 15 (quinze) dias corridos .
Art. 52 . Nos casos de suspensão temporária do ensaio clí nico ou DDCM como medida imediata de segurança, o patrocinador deve notificar à Anvisa no prazo de 7 (sete) dias corridos a contar da data de suspensão, justificando os motivos. Parágrafo único. As razões, a abrangência, a interrupçã o do tratamento e a suspensão do recrutamento de participantes devem estar explicadas com clareza na notificação de suspensão temporária.</x:v>
      </x:c>
      <x:c r="L53" s="21" t="str"/>
      <x:c r="M53" s="21" t="str"/>
      <x:c r="N53" s="21" t="str"/>
      <x:c r="O53" s="21" t="str"/>
      <x:c r="P53" s="21" t="str"/>
      <x:c r="Q53" s="22" t="str"/>
      <x:c r="R53" s="22" t="str"/>
      <x:c r="S53" s="22" t="str"/>
    </x:row>
    <x:row r="54" ht="88.5" customHeight="1">
      <x:c r="A54" s="23" t="n">
        <x:v>53</x:v>
      </x:c>
      <x:c r="B54" s="23" t="str">
        <x:v>COMPLEX_02</x:v>
      </x:c>
      <x:c r="C54" s="23" t="str">
        <x:v>Complex</x:v>
      </x:c>
      <x:c r="D54" s="23" t="str">
        <x:v>exception</x:v>
      </x:c>
      <x:c r="E54" s="23" t="str">
        <x:v>Yes</x:v>
      </x:c>
      <x:c r="F54" s="22" t="str">
        <x:v>Quais informações devem constar no relatório técnico exigido no ato do protocolo de registro de um produto biológico, conforme o Art. 31 da RDC 55/2010?</x:v>
      </x:c>
      <x:c r="G54" s="22" t="str">
        <x:v>Deve conter: dados do fabricante e banco de células; fabricantes do princípio ativo e produto terminado; emissor do certificado de liberação; dados gerais do produto (forma, composição, funções, uso, advertências, validade, conservação); histórico de desenvolvimento; etapas de fabricação (fluxograma, equipamentos, validações); controle de qualidade; cuidados de armazenamento; descrição de recipientes; e validação da cadeia de transporte.</x:v>
      </x:c>
      <x:c r="H54" s="22" t="str">
        <x:v>What information must be included in the technical report required at the time of the registration protocol for a biological product, according to Art. 31 of RDC 55/2010?</x:v>
      </x:c>
      <x:c r="I54" s="22" t="str">
        <x:v>It must contain: manufacturer and cell bank data; manufacturers of the active ingredient and finished product; release certificate issuer; general product data (form, composition, functions, use, warnings, shelf life, storage); development history; manufacturing steps (flowchart, equipment, validations); quality control; storage precautions; container description; and transport chain validation.</x:v>
      </x:c>
      <x:c r="J54" s="22" t="str">
        <x:v>RDC 55/2010, Art. 31</x:v>
      </x:c>
      <x:c r="K54" s="22" t="str">
        <x:v>Art. 31. No ato do protocolo do pedido de registro de um produto biológico novo ou produto biológico, a empresa solicitante deverá apresentar relatório técnico contendo as seguintes informações: I - nome e endereço do fabricante e do local de armazenamento do banco de células; II - nome e endereço de todos os fabricantes do princípio ativo, do produto biológico a granel, do produto biológico em sua embalagem primária, do produto biológico terminado, do diluente e do adjuvante; III - nome e endereço do emissor do certificado de liberação dos lotes do produto terminado; IV - dados gerais sobre o produto: a) forma farmacêutica e apresentação; b) composição completa da formulação, com todos os seus componentes especificados pelos nomes técnicos correspondentes e sinônimos de acordo com a Denominação Comum Brasileira - DCB, se houver, ou Denominação Comum Internacional - DCI ou, na sua ausência, a denominação Chemical Abstracts Service - CAS; indicando as unidades de medidas utilizadas; c) funções que cada substância desempenha na fórmula; d) via(s) de administração; e) instruções de uso, quando for o caso; f) indicações, finalidade ou uso a que se destina; g) contra-indicações; h) efeitos colaterais; i) reações adversas; j) restrições ou cuidados que devem ser considerados; k) precauções e advertências; l) interações medicamentosas e alimentares; m) alteração nos testes laboratoriais; n) sinais, sintomas e condutas, em caso de superdoses; o) prazo de validade; p) cuidados de conservação; q) temperatura de conservação; r) temperatura de transporte; s) especificações do material da embalagem primária e secundária; e t) códigos ou convenções utilizados pela empresa para identificação dos lotes de princípio ativo, produto biológico a granel, produto biológico em sua embalagem primária e produto biológico terminado; V - histórico do desenvolvimento do produto, apontando a finalidade de uso de cada lote produzido (estudo de estabilidade, estudos pré-clínicos e clínicos); VI - informações sobre as etapas de fabricação: a) protocolo resumido de produção na forma de fluxograma, com identificação dos controles em processo; b) lista dos principais equipamentos utilizados na fabricação; c) descrição detalhada de todas as etapas de fabricação do produto biológico, do diluente e do adjuvante; d) identificação e justificativa para a seleção das etapas críticas do processo de fabricação; e) descrição dos controles em processo e justificativa para determinação das especificações; f) escala de produção em todas as etapas de fabricação, apontando os tamanhos mínimo e máximo do lote industrial a ser produzido para comercialização; g) descrição e justificativas para mudanças efetuadas no processo de produção, durante o desenvolvimento do produto biológico terminado; h) relatório da validação dos procedimentos de remoção e/ou eliminação virais utilizados, quando aplicável; i) relatório de validação das etapas críticas do processo de fabricação; e j) validação e justificativa para os reprocessos; VII - informações sobre o controle de qualidade: a) descrição de todos os testes de controle de qualidade realizados, desde o princípio ativo até o produto terminado; b) descrição dos padrões de referência utilizados; c) validação de metodologias analíticas de acordo com a legislação sanitária vigente; e d) referência e justificativa para cada especificação determinada nos testes de controle de qualidade; VIII - descrição dos cuidados de armazenamento do princípio ativo, do produto biológico a granel, do produto biológico intermediário, do produto biológico em sua embalagem primária, do produto biológico terminado, do diluente e do adjuvante; IX - descrição dos recipientes e formas de acondicionamento do princípio ativo, do produto biológico a granel, do produto biológico intermediário, do produto biológico em sua embalagem primária, do produto biológico terminado, do diluente e do adjuvante e condições a serem mantidas para garantir a qualidade dos produtos; X - validação da cadeia de transporte: a) qualificação de operação e desempenho das caixas a serem utilizadas para o transporte e validação dos procedimentos de transporte do princípio ativo, do produto biológico a granel, do produto biológico intermediário, do produto biológico em sua embalagem primária e do produto biológico terminado, do diluente e do adjuvante;e b) qualificação de operação e desempenho das caixas a serem utilizadas para o transporte do produto biológico terminado em território nacional; XI - descrição das soluções, componentes e meios de cultura usados na fabricação do produto biológico; XII - informações sobre os excipientes: a) descrição das propriedades físico-químicas, microbiológicas e demais controles de qualidade; b) especificações dos excipientes; c) descrição de possíveis interações químicas dos excipientes com o princípio ativo; d) estudo demonstrando a eficácia do conservante utilizado, para aqueles produtos que contenham algum conservante em sua formulação final; XIII - protocolo e relatório dos estudos de estabilidade de acordo com a legislação sanitária vigente; XIV - contaminantes e impurezas: a) caracterização dos contaminantes e impurezas; b) descrição dos processos envolvidos para diminuição/remoção das impurezas originadas pela decomposição do produto ou pelo processo de fabricação; c) justificativas para as especificações de impurezas no produto acabado; e d) avaliação da segurança para agentes adventícios dos materiais de partida de origem biológica; e XV - descrição e especificações das embalagens primária e secundária. § 1º As quantidades de cada substância, necessárias para o atendimento do previsto na alínea b do inciso IV do caput deste artigo, devem ser expressas no sistema métrico decimal ou unidade padrão. § 2º Sempre que uma unidade internacional de atividade biológica tiver sido definida pela Organização Mundial da Saúde, esta deve ser utilizada. § 3º A empresa solicitante deve apresentar documentação comprobatória do registro do hemoderivado na Anvisa, quando este for parte da composição do produto biológico e, caso o hemoderivado não seja registrado no país, a empresa deverá apresentar documentação conforme disposto nas seções II e III deste capítulo. § 4º Deverá ser utilizado padrão de referência internacional, quando disponível. § 5º Todas as metodologias de análise adotadas pelo importador devem ser detalhadamente descritas; § 6º Na existência de mais de um local de fabricação do princípio ativo, do produto biológico intermediário, do produto biológico a granel, do produto biológico em sua embalagem primária, do diluente e do adjuvante, deve ser enviado um relatório comparativo do processo de fabricação e dos produtos fabricados entre os diversos locais, comprovando a manutenção das características do produto. § 7º O relatório a que se refere o parágrafo anterior deve conter, além de outras informações, os seguintes documentos: I - descrição e avaliação das diferenças no processo produtivo entre os locais alternativos de fabricação; II - estudo de comparabilidade que comprove a manutenção das características físico-químicas e biológicas e dos parâmetros de segurança e eficácia da molécula; e III - estudo de estabilidade de acordo com a legislação sanitária vigente, para cada local alternativo de fabricação.</x:v>
      </x:c>
      <x:c r="L54" s="21" t="str"/>
      <x:c r="M54" s="21" t="str"/>
      <x:c r="N54" s="21" t="str"/>
      <x:c r="O54" s="21" t="str"/>
      <x:c r="P54" s="21" t="str"/>
      <x:c r="Q54" s="22" t="str"/>
      <x:c r="R54" s="22" t="str"/>
      <x:c r="S54" s="22" t="str"/>
    </x:row>
    <x:row r="55" ht="88.5" customHeight="1">
      <x:c r="A55" s="23" t="n">
        <x:v>54</x:v>
      </x:c>
      <x:c r="B55" s="23" t="str">
        <x:v>UNANS_14</x:v>
      </x:c>
      <x:c r="C55" s="23" t="str">
        <x:v>Unanswerable</x:v>
      </x:c>
      <x:c r="D55" s="23" t="str">
        <x:v>unanswerable_ethics_decision</x:v>
      </x:c>
      <x:c r="E55" s="23" t="str">
        <x:v>No</x:v>
      </x:c>
      <x:c r="F55" s="22" t="str">
        <x:v>O comitê de ética aprovará este protocolo clínico específico?</x:v>
      </x:c>
      <x:c r="G55" s="22" t="str">
        <x:v>Os documentos recuperados nao fornecem informacao suficiente para responder.</x:v>
      </x:c>
      <x:c r="H55" s="22" t="str">
        <x:v>Will the ethics committee approve this specific clinical protocol?</x:v>
      </x:c>
      <x:c r="I55" s="22" t="str">
        <x:v>The retrieved documents do not provide enough information to answer.</x:v>
      </x:c>
      <x:c r="J55" s="22" t="str"/>
      <x:c r="K55" s="22" t="str"/>
      <x:c r="L55" s="21" t="str"/>
      <x:c r="M55" s="21" t="str"/>
      <x:c r="N55" s="21" t="str"/>
      <x:c r="O55" s="21" t="str"/>
      <x:c r="P55" s="21" t="str"/>
      <x:c r="Q55" s="22" t="str"/>
      <x:c r="R55" s="22" t="str"/>
      <x:c r="S55" s="22" t="str"/>
    </x:row>
    <x:row r="56" ht="88.5" customHeight="1">
      <x:c r="A56" s="23" t="n">
        <x:v>55</x:v>
      </x:c>
      <x:c r="B56" s="23" t="str">
        <x:v>UNANS_08</x:v>
      </x:c>
      <x:c r="C56" s="23" t="str">
        <x:v>Unanswerable</x:v>
      </x:c>
      <x:c r="D56" s="23" t="str">
        <x:v>unanswerable_future_approval</x:v>
      </x:c>
      <x:c r="E56" s="23" t="str">
        <x:v>No</x:v>
      </x:c>
      <x:c r="F56" s="22" t="str">
        <x:v>A Anvisa aprovará um ensaio clínico apresentado no próximo ano?</x:v>
      </x:c>
      <x:c r="G56" s="22" t="str">
        <x:v>Os documentos recuperados nao fornecem informacao suficiente para responder.</x:v>
      </x:c>
      <x:c r="H56" s="22" t="str">
        <x:v>Will Anvisa approve a clinical trial submitted next year?</x:v>
      </x:c>
      <x:c r="I56" s="22" t="str">
        <x:v>The retrieved documents do not provide enough information to answer.</x:v>
      </x:c>
      <x:c r="J56" s="22" t="str"/>
      <x:c r="K56" s="22" t="str"/>
      <x:c r="L56" s="21" t="str"/>
      <x:c r="M56" s="21" t="str"/>
      <x:c r="N56" s="21" t="str"/>
      <x:c r="O56" s="21" t="str"/>
      <x:c r="P56" s="21" t="str"/>
      <x:c r="Q56" s="22" t="str"/>
      <x:c r="R56" s="22" t="str"/>
      <x:c r="S56" s="22" t="str"/>
    </x:row>
    <x:row r="57" ht="88.5" customHeight="1">
      <x:c r="A57" s="23" t="n">
        <x:v>56</x:v>
      </x:c>
      <x:c r="B57" s="23" t="str">
        <x:v>DIRECT_44</x:v>
      </x:c>
      <x:c r="C57" s="23" t="str">
        <x:v>Direct</x:v>
      </x:c>
      <x:c r="D57" s="23" t="str">
        <x:v>direct_article</x:v>
      </x:c>
      <x:c r="E57" s="23" t="str">
        <x:v>Yes</x:v>
      </x:c>
      <x:c r="F57" s="22" t="str">
        <x:v>Quais são as três principais atribuições conferidas ao RFV para garantir a autonomia do Sistema de Farmacovigilância?</x:v>
      </x:c>
      <x:c r="G57" s="22" t="str">
        <x:v>O RFV deve ter autoridade para implementar alterações no Sistema de Farmacovigilância, promover inclusões e sugestões nos Planos de Gerenciamento de Risco e Relatórios Periódicos de Avaliação Benefício-Risco, e responder prontamente à autoridade sanitária sobre a segurança dos produtos.</x:v>
      </x:c>
      <x:c r="H57" s="22" t="str">
        <x:v>What are the three main duties granted to the RFV to ensure the autonomy of the Pharmacovigilance System?</x:v>
      </x:c>
      <x:c r="I57" s="22" t="str">
        <x:v>The RFV must have the authority to implement changes to the Pharmacovigilance System, promote inclusions and suggestions in Risk Management Plans and Periodic Benefit-Risk Evaluation Reports, and respond promptly to the health authority regarding product safety.</x:v>
      </x:c>
      <x:c r="J57" s="22" t="str">
        <x:v>RDC 406/2020, Art. 7</x:v>
      </x:c>
      <x:c r="K57" s="22" t="str">
        <x:v>Art. 7º O RFV deve ser dotado de autoridade e autonomia suficientes para: I - implementar alterações no Sistema de Farmacovigilância, com vistas a promover, manter e melhorar o cumprimento dos requisitos regulatórios; II - promover inclusões e sugestões nos Planos de Gerenciamento de Risco e Relatórios Periódicos de Avaliação Benefício-Risco; e III - responder prontamente perante a autoridade sanitária quanto à segurança de produtos sob responsabilidade do Detentor de Registro de Medicamento.</x:v>
      </x:c>
      <x:c r="L57" s="21" t="str"/>
      <x:c r="M57" s="21" t="str"/>
      <x:c r="N57" s="21" t="str"/>
      <x:c r="O57" s="21" t="str"/>
      <x:c r="P57" s="21" t="str"/>
      <x:c r="Q57" s="22" t="str"/>
      <x:c r="R57" s="22" t="str"/>
      <x:c r="S57" s="22" t="str"/>
    </x:row>
    <x:row r="58" ht="88.5" customHeight="1">
      <x:c r="A58" s="23" t="n">
        <x:v>57</x:v>
      </x:c>
      <x:c r="B58" s="23" t="str">
        <x:v>DIRECT_64</x:v>
      </x:c>
      <x:c r="C58" s="23" t="str">
        <x:v>Direct</x:v>
      </x:c>
      <x:c r="D58" s="23" t="str">
        <x:v>direct_article</x:v>
      </x:c>
      <x:c r="E58" s="23" t="str">
        <x:v>Yes</x:v>
      </x:c>
      <x:c r="F58" s="22" t="str">
        <x:v>A quais tipos de medicamentos e situações de pós-registro a RDC 945/2024 se aplica?</x:v>
      </x:c>
      <x:c r="G58" s="22" t="str">
        <x:v>Aplica-se a ensaios clínicos com medicamentos sintéticos, semissintéticos, fitoterápicos, específicos, dinamizados, gases medicinais, radiofármacos e biológicos (incluindo biossimilares) que forneçam subsídios para nova indicação, via de administração, concentração, forma farmacêutica, ampliação de uso, regime posológico, novas associações ou renovação de registro.</x:v>
      </x:c>
      <x:c r="H58" s="22" t="str">
        <x:v>To which types of medicines and post-registration situations does RDC 945/2024 apply?</x:v>
      </x:c>
      <x:c r="I58" s="22" t="str">
        <x:v>It applies to clinical trials with synthetic, semi-synthetic, herbal, specific, dynamized, medicinal gases, radiopharmaceuticals, and biological medicines (including biosimilars) that provide evidence for new indications, routes of administration, concentrations, pharmaceutical forms, use expansion, dosage regimens, new combinations, or registration renewal.</x:v>
      </x:c>
      <x:c r="J58" s="22" t="str">
        <x:v>RDC 945/2024, Art. 2</x:v>
      </x:c>
      <x:c r="K58" s="22" t="str">
        <x:v>Art. 2º Esta Resolução é aplicável aos ensaios clínicos com medicamentos que terão todo ou parte de seu desenvolvimento clínico no Brasil para fins de registro. § 1º Ensaios clínicos com medicamentos registrados no Brasil devem seguir todas as disposições desta Resolução quando fornecerem subsídios para: nova indicação terapêutica, nova via de administração, nova concentração, nova forma farmacêutica, ampliação de uso, novo regime posológico, novas associações ou qualquer alteração pós-registro que requeira dados clínicos, e renovação de registro; § 2º O descrito no caput se aplica a medicamentos sintéticos e semissintéticos, fitoterápicos, específicos, dinamizados, gases medicinais, radiofármacos e biológicos, incluindo biossimilares.</x:v>
      </x:c>
      <x:c r="L58" s="21" t="str"/>
      <x:c r="M58" s="21" t="str"/>
      <x:c r="N58" s="21" t="str"/>
      <x:c r="O58" s="21" t="str"/>
      <x:c r="P58" s="21" t="str"/>
      <x:c r="Q58" s="22" t="str"/>
      <x:c r="R58" s="22" t="str"/>
      <x:c r="S58" s="22" t="str"/>
    </x:row>
    <x:row r="59" ht="88.5" customHeight="1">
      <x:c r="A59" s="23" t="n">
        <x:v>58</x:v>
      </x:c>
      <x:c r="B59" s="23" t="str">
        <x:v>DIRECT_05</x:v>
      </x:c>
      <x:c r="C59" s="23" t="str">
        <x:v>Direct</x:v>
      </x:c>
      <x:c r="D59" s="23" t="str">
        <x:v>direct_article</x:v>
      </x:c>
      <x:c r="E59" s="23" t="str">
        <x:v>Yes</x:v>
      </x:c>
      <x:c r="F59" s="22" t="str">
        <x:v>Quais unidades estruturais são obrigatórias para o patrocinador primário em um ensaio clínico desenvolvido por investigador-patrocinador?</x:v>
      </x:c>
      <x:c r="G59" s="22" t="str">
        <x:v>O patrocinador primário deve possuir estrutura com: gerenciamento de eventos adversos, gerenciamento do projeto, gerenciamento dos dados, treinamento, tecnologia da informação, garantia da qualidade e monitoria.</x:v>
      </x:c>
      <x:c r="H59" s="22" t="str">
        <x:v>Which structural units are mandatory for the primary sponsor in a clinical trial developed by an investigator-sponsor?</x:v>
      </x:c>
      <x:c r="I59" s="22" t="str">
        <x:v>The primary sponsor must have a structure with: adverse event management, project management, data management, training, information technology, quality assurance, and monitoring.</x:v>
      </x:c>
      <x:c r="J59" s="22" t="str">
        <x:v>RDC 9/2015, Art. 27</x:v>
      </x:c>
      <x:c r="K59" s="22" t="str">
        <x:v>Art. 27 . No caso de ensaio clí nico desenvolvido por investigador -patrocinador, a instituição com a qual ele tenha vínculo será o patrocinador primário. §1º O patrocinador primário pode delegar responsabilidades ao investigador , que será responsável pela condução do ensaio clínico na i nstituição , e, n esse caso, o investigador -patrocinador será o patrocinador secundário. §2º Em caso de delegação de responsabilidades e ativida des, um documento escrito deve ser firmado entre as partes. §3º O patrocinador primário não pode delegar ativida des de garantia da qualidade, auditorias e monitoria dos ensaios clínicos ao investigador -patrocinador, mas pode delegá - las a uma ORPC. §4º O patrocinador primário deve apresentar estrutura própria ou terceirizada com, no mínimo, as seguintes unidades: I - gerenciamento de eventos adversos; II - gerenciamento do projeto; III - gerenciamento dos dados; IV - treinamento; V - tecnologia da informação; VI - garantia da qualidade e; VII - monitoria. §5º A instituição referida no caput deve ser aquela na qual o ensaio clínico será realizado. §6º As responsabilidades relacionadas neste artigo não excluem o disposto n as Seções I e II deste capítulo sobre responsabilidades do patrocinador e investigador.</x:v>
      </x:c>
      <x:c r="L59" s="21" t="str"/>
      <x:c r="M59" s="21" t="str"/>
      <x:c r="N59" s="21" t="str"/>
      <x:c r="O59" s="21" t="str"/>
      <x:c r="P59" s="21" t="str"/>
      <x:c r="Q59" s="22" t="str"/>
      <x:c r="R59" s="22" t="str"/>
      <x:c r="S59" s="22" t="str"/>
    </x:row>
    <x:row r="60" ht="88.5" customHeight="1">
      <x:c r="A60" s="23" t="n">
        <x:v>59</x:v>
      </x:c>
      <x:c r="B60" s="23" t="str">
        <x:v>DIRECT_45</x:v>
      </x:c>
      <x:c r="C60" s="23" t="str">
        <x:v>Direct</x:v>
      </x:c>
      <x:c r="D60" s="23" t="str">
        <x:v>direct_article</x:v>
      </x:c>
      <x:c r="E60" s="23" t="str">
        <x:v>Yes</x:v>
      </x:c>
      <x:c r="F60" s="22" t="str">
        <x:v>O que ocorre com a contagem do prazo de submissão quando são recebidas informações adicionais sobre um caso de farmacovigilância já relatado?</x:v>
      </x:c>
      <x:c r="G60" s="22" t="str">
        <x:v>A contagem do prazo para a submissão da Notificação de Seguimento é reiniciada.</x:v>
      </x:c>
      <x:c r="H60" s="22" t="str">
        <x:v>What happens to the submission deadline countdown when additional information is received regarding a previously reported pharmacovigilance case?</x:v>
      </x:c>
      <x:c r="I60" s="22" t="str">
        <x:v>The countdown for the submission of the Follow-up Notification is restarted.</x:v>
      </x:c>
      <x:c r="J60" s="22" t="str">
        <x:v>RDC 406/2020, Art. 33</x:v>
      </x:c>
      <x:c r="K60" s="22" t="str">
        <x:v>Art. 33. Quando informações adicionais clinicamente relevantes são recebidas para caso anteriormente relatado, a contagem do prazo para a submissão da Notificação de Seguimento é reiniciada. Parágrafo único. Casos inicialmente classificados como Notificações não enquadradas no art. 30 desta Resolução, poderão, após o recebimento de informações de acompanhamento, ser reclassificados como Notificação de Evento Adverso Grave, devendo obedecer ao prazo indicado naquele artigo.</x:v>
      </x:c>
      <x:c r="L60" s="21" t="str"/>
      <x:c r="M60" s="21" t="str"/>
      <x:c r="N60" s="21" t="str"/>
      <x:c r="O60" s="21" t="str"/>
      <x:c r="P60" s="21" t="str"/>
      <x:c r="Q60" s="22" t="str"/>
      <x:c r="R60" s="22" t="str"/>
      <x:c r="S60" s="22" t="str"/>
    </x:row>
    <x:row r="61" ht="88.5" customHeight="1">
      <x:c r="A61" s="23" t="n">
        <x:v>60</x:v>
      </x:c>
      <x:c r="B61" s="23" t="str">
        <x:v>DIRECT_33</x:v>
      </x:c>
      <x:c r="C61" s="23" t="str">
        <x:v>Direct</x:v>
      </x:c>
      <x:c r="D61" s="23" t="str">
        <x:v>direct_article</x:v>
      </x:c>
      <x:c r="E61" s="23" t="str">
        <x:v>Yes</x:v>
      </x:c>
      <x:c r="F61" s="22" t="str">
        <x:v>Quais documentos devem ser apresentados para a revalidação de registro de dispositivos médicos importados?</x:v>
      </x:c>
      <x:c r="G61" s="22" t="str">
        <x:v>Deve-se apresentar o comprovante de pagamento da taxa, uma declaração do fabricante legal (consularizada ou apostilada, com tradução juramentada se necessário, emitida há no máximo dois anos) autorizando a representação e comercialização no Brasil, e o Certificado de Boas Práticas de Fabricação válido emitido pela Anvisa.</x:v>
      </x:c>
      <x:c r="H61" s="22" t="str">
        <x:v>What documents must be submitted for the revalidation of the registration of imported medical devices?</x:v>
      </x:c>
      <x:c r="I61" s="22" t="str">
        <x:v>One must submit proof of payment of the corresponding fee, a declaration from the legal manufacturer (consularized or apostilled, with a sworn translation if necessary, issued no more than two years ago) authorizing representation and commercialization in Brazil, and a valid Good Manufacturing Practices Certificate issued by Anvisa.</x:v>
      </x:c>
      <x:c r="J61" s="22" t="str">
        <x:v>RDC 751/2022, Art. 27</x:v>
      </x:c>
      <x:c r="K61" s="22" t="str">
        <x:v>Art. 27. Para peticionar a revalidação do registro de dispositivo médico, o solicitante deve proceder com o pagamento da taxa correspondente e apresentar os seguintes documentos: I - para dispositivos médicos importados: declaração emitida pelo fabricante legal consularizada ou apostilada, redigida em português, inglês ou espanhol ou acompanhada de tradução juramentada, há no máximo dois anos quando não existir validade expressa indicada no documento, autorizando a empresa solicitante a representar e comercializar seu(s) produto(s) no Brasil. II - Certificado de Boas Práticas de Fabricação emitido pela Anvisa válido. § 1º A declaração de que trata o inciso I deve conter a razão social e endereço completo do fabricante legal e da empresa solicitante, a autorização expressa para a empresa solicitante representar e comercializar os seus produtos no Brasil, e, a afirmação acerca do conhecimento e atendimento aos requisitos de Boas Práticas de Fabricação de Produtos para Saúde estabelecidos na Resolução da Diretoria Colegiada - RDC nº 665, de 30 de março de 2022 , publicada no DOU nº 62, de 31 de março de 2022, Seção 1, pág. 334, ou regulamento que venha substitui-la. § 2º A solicitação de revalidação deverá ser apresentada no prazo previsto na Resolução da Diretoria Colegiada - RDC nº 250, de 20 de outubro de 2004 . § 3º O protocolo do pedido de Certificação de Boas Práticas de Fabricação será aceito para efeito de peticionamento e análise das petições de revalidação de registro.</x:v>
      </x:c>
      <x:c r="L61" s="21" t="str"/>
      <x:c r="M61" s="21" t="str"/>
      <x:c r="N61" s="21" t="str"/>
      <x:c r="O61" s="21" t="str"/>
      <x:c r="P61" s="21" t="str"/>
      <x:c r="Q61" s="22" t="str"/>
      <x:c r="R61" s="22" t="str"/>
      <x:c r="S61" s="22" t="str"/>
    </x:row>
    <x:row r="62" ht="88.5" customHeight="1">
      <x:c r="A62" s="23" t="n">
        <x:v>61</x:v>
      </x:c>
      <x:c r="B62" s="23" t="str">
        <x:v>DIRECT_28</x:v>
      </x:c>
      <x:c r="C62" s="23" t="str">
        <x:v>Direct</x:v>
      </x:c>
      <x:c r="D62" s="23" t="str">
        <x:v>direct_article</x:v>
      </x:c>
      <x:c r="E62" s="23" t="str">
        <x:v>Yes</x:v>
      </x:c>
      <x:c r="F62" s="22" t="str">
        <x:v>Qual é a consequência da ausência de resposta à notificação de adequação processual emitida pela Anvisa?</x:v>
      </x:c>
      <x:c r="G62" s="22" t="str">
        <x:v>A ausência de resposta no prazo de até 30 dias, contados da emissão da notificação de adequação, ensejará o cancelamento da notificação, registro ou alteração.</x:v>
      </x:c>
      <x:c r="H62" s="22" t="str">
        <x:v>What is the consequence of failing to respond to a procedural adequacy notification issued by Anvisa?</x:v>
      </x:c>
      <x:c r="I62" s="22" t="str">
        <x:v>Failure to respond within 30 days from the issuance of the adequacy notification will result in the cancellation of the notification, registration, or amendment.</x:v>
      </x:c>
      <x:c r="J62" s="22" t="str">
        <x:v>RDC 751/2022, Art. 38</x:v>
      </x:c>
      <x:c r="K62" s="22" t="str">
        <x:v>Art. 38. Nos casos em que se evidenciem inconsistências ou necessidade de complementação de informações, os detentores serão instados a adequar seus processos. § 1º As adequações de que trata o caput devem ser respondidas pelo detentor da notificação ou do registro em prazo de 30 (trinta) dias contados a partir da data de confirmação do seu recebimento. § 2º As situações que ensejem correção das informações previamente apresentadas deverão ser tratadas por meio de peticionamento específico. § 3º A ausência de resposta à notificação de adequação a que se refere o caput no prazo de até 30 (trinta) dias, contados da sua emissão, ensejará o cancelamento da notificação, registro ou alteração.</x:v>
      </x:c>
      <x:c r="L62" s="21" t="str"/>
      <x:c r="M62" s="21" t="str"/>
      <x:c r="N62" s="21" t="str"/>
      <x:c r="O62" s="21" t="str"/>
      <x:c r="P62" s="21" t="str"/>
      <x:c r="Q62" s="22" t="str"/>
      <x:c r="R62" s="22" t="str"/>
      <x:c r="S62" s="22" t="str"/>
    </x:row>
    <x:row r="63" ht="88.5" customHeight="1">
      <x:c r="A63" s="23" t="n">
        <x:v>62</x:v>
      </x:c>
      <x:c r="B63" s="23" t="str">
        <x:v>DIRECT_38</x:v>
      </x:c>
      <x:c r="C63" s="23" t="str">
        <x:v>Direct</x:v>
      </x:c>
      <x:c r="D63" s="23" t="str">
        <x:v>direct_article</x:v>
      </x:c>
      <x:c r="E63" s="23" t="str">
        <x:v>Yes</x:v>
      </x:c>
      <x:c r="F63" s="22" t="str">
        <x:v>Quais atividades de Farmacovigilância devem obrigatoriamente estar descritas em POP ou documentos equivalentes?</x:v>
      </x:c>
      <x:c r="G63" s="22" t="str">
        <x:v>Devem incluir: coleta, processamento, codificação, classificação, avaliação e notificação; análise de literatura; acompanhamento de notificações sem evolução clínica; detecção de duplicação; Plano de Gerenciamento de Risco; Relatórios Periódicos de Avaliação Benefício-Risco; autoinspeção; treinamento; gestão de documentos; detecção de sinal; avaliação benefício-risco; desvios de qualidade; respostas a exigências; segurança urgente; sistemas eletrônicos; e Ações Corretivas e Preventivas.</x:v>
      </x:c>
      <x:c r="H63" s="22" t="str">
        <x:v>Which Pharmacovigilance activities must be described in SOPs or equivalent documents?</x:v>
      </x:c>
      <x:c r="I63" s="22" t="str">
        <x:v>They must include: collection, processing, coding, classification, evaluation, and notification; literature analysis; follow-up of notifications without clinical evolution; duplicate detection; Risk Management Plan; Periodic Benefit-Risk Evaluation Reports; self-inspection; training; document management; signal detection; benefit-risk evaluation; quality deviations; responses to requirements; urgent safety information; electronic systems; and Corrective and Preventive Actions.</x:v>
      </x:c>
      <x:c r="J63" s="22" t="str">
        <x:v>RDC 406/2020, Art. 24</x:v>
      </x:c>
      <x:c r="K63" s="22" t="str">
        <x:v>Art. 24. Os Detentores de Registro de Medicamento devem possuir e seguir POP ou qualquer outro tipo de documento que balize as atividades relacionadas à Farmacovigilância. § 1º Os documentos de que trata o caput deste artigo devem ser legíveis e claros, a fim de evitar interpretações divergentes durante sua execução. § 2º As seguintes atividades devem estar descritas em POP ou qualquer outro tipo de documento: I - coleta, processamento, codificação, classificação, avaliação e Notificação para a autoridade sanitária competente; II - processo de análise regular para captura de informações de Eventos Adversos de diversas fontes de literatura científica, acessando revisões sistemáticas ou bases de dados de referência; III - procedimento de acompanhamento de Notificações sem Evolução Clínica conhecida; IV - processo de detecção de duplicação de Notificações; V - processo de elaboração e implantação de Plano de Gerenciamento de Risco; VI - processo de elaboração de Relatórios Periódicos de Avaliação Benefício-Risco; VII - procedimentos de Autoinspeção em Farmacovigilância; VIII - treinamento de pessoal; IX - gerenciamento de documentos; X - detecção de Sinal e sua revisão; XI - avaliação Benefício-Risco; XII - interação entre questões de segurança e desvios da qualidade; XIII - processo de resposta às exigências de autoridades sanitárias; XIV - gerenciamento de informações de segurança urgentes; XV - gerenciamento e uso de banco de dados e outros sistemas eletrônicos; e XVI - gerenciamento de Ações Corretivas e Ações Preventivas. § 3º A relação de atividades constantes do § 2º deste artigo não é exaustiva, cabendo ao Detentor de Registro de Medicamento avaliar a necessidade da elaboração de documentos suplementares que contemplem outras atividades. Sub</x:v>
      </x:c>
      <x:c r="L63" s="21" t="str"/>
      <x:c r="M63" s="21" t="str"/>
      <x:c r="N63" s="21" t="str"/>
      <x:c r="O63" s="21" t="str"/>
      <x:c r="P63" s="21" t="str"/>
      <x:c r="Q63" s="22" t="str"/>
      <x:c r="R63" s="22" t="str"/>
      <x:c r="S63" s="22" t="str"/>
    </x:row>
    <x:row r="64" ht="88.5" customHeight="1">
      <x:c r="A64" s="23" t="n">
        <x:v>63</x:v>
      </x:c>
      <x:c r="B64" s="23" t="str">
        <x:v>UNANS_07</x:v>
      </x:c>
      <x:c r="C64" s="23" t="str">
        <x:v>Unanswerable</x:v>
      </x:c>
      <x:c r="D64" s="23" t="str">
        <x:v>unanswerable_company_status</x:v>
      </x:c>
      <x:c r="E64" s="23" t="str">
        <x:v>No</x:v>
      </x:c>
      <x:c r="F64" s="22" t="str">
        <x:v>Qual é a situação atual do pedido regulatório da empresa X?</x:v>
      </x:c>
      <x:c r="G64" s="22" t="str">
        <x:v>Os documentos recuperados nao fornecem informacao suficiente para responder.</x:v>
      </x:c>
      <x:c r="H64" s="22" t="str">
        <x:v>What is the current status of company X's regulatory submission?</x:v>
      </x:c>
      <x:c r="I64" s="22" t="str">
        <x:v>The retrieved documents do not provide enough information to answer.</x:v>
      </x:c>
      <x:c r="J64" s="22" t="str"/>
      <x:c r="K64" s="22" t="str"/>
      <x:c r="L64" s="21" t="str"/>
      <x:c r="M64" s="21" t="str"/>
      <x:c r="N64" s="21" t="str"/>
      <x:c r="O64" s="21" t="str"/>
      <x:c r="P64" s="21" t="str"/>
      <x:c r="Q64" s="22" t="str"/>
      <x:c r="R64" s="22" t="str"/>
      <x:c r="S64" s="22" t="str"/>
    </x:row>
    <x:row r="65" ht="88.5" customHeight="1">
      <x:c r="A65" s="23" t="n">
        <x:v>64</x:v>
      </x:c>
      <x:c r="B65" s="23" t="str">
        <x:v>UNANS_12</x:v>
      </x:c>
      <x:c r="C65" s="23" t="str">
        <x:v>Unanswerable</x:v>
      </x:c>
      <x:c r="D65" s="23" t="str">
        <x:v>unanswerable_foreign_law</x:v>
      </x:c>
      <x:c r="E65" s="23" t="str">
        <x:v>No</x:v>
      </x:c>
      <x:c r="F65" s="22" t="str">
        <x:v>Quais requisitos da FDA substituem automaticamente as normas da Anvisa?</x:v>
      </x:c>
      <x:c r="G65" s="22" t="str">
        <x:v>Os documentos recuperados nao fornecem informacao suficiente para responder.</x:v>
      </x:c>
      <x:c r="H65" s="22" t="str">
        <x:v>Which FDA requirements automatically replace Anvisa regulations?</x:v>
      </x:c>
      <x:c r="I65" s="22" t="str">
        <x:v>The retrieved documents do not provide enough information to answer.</x:v>
      </x:c>
      <x:c r="J65" s="22" t="str"/>
      <x:c r="K65" s="22" t="str"/>
      <x:c r="L65" s="21" t="str"/>
      <x:c r="M65" s="21" t="str"/>
      <x:c r="N65" s="21" t="str"/>
      <x:c r="O65" s="21" t="str"/>
      <x:c r="P65" s="21" t="str"/>
      <x:c r="Q65" s="22" t="str"/>
      <x:c r="R65" s="22" t="str"/>
      <x:c r="S65" s="22" t="str"/>
    </x:row>
    <x:row r="66" ht="88.5" customHeight="1">
      <x:c r="A66" s="23" t="n">
        <x:v>65</x:v>
      </x:c>
      <x:c r="B66" s="23" t="str">
        <x:v>DIRECT_25</x:v>
      </x:c>
      <x:c r="C66" s="23" t="str">
        <x:v>Direct</x:v>
      </x:c>
      <x:c r="D66" s="23" t="str">
        <x:v>direct_article</x:v>
      </x:c>
      <x:c r="E66" s="23" t="str">
        <x:v>Yes</x:v>
      </x:c>
      <x:c r="F66" s="22" t="str">
        <x:v>Quais são as condições específicas para que acessórios de dispositivos médicos sejam isentos de notificação ou registro junto à Anvisa?</x:v>
      </x:c>
      <x:c r="G66" s="22" t="str">
        <x:v>Estão isentos de notificação ou registro os acessórios produzidos por um fabricante exclusivamente para integrar os dispositivos médicos de sua fabricação já notificados ou registrados, desde que os dossiês técnicos contenham informações sobre esses acessórios.</x:v>
      </x:c>
      <x:c r="H66" s="22" t="str">
        <x:v>What are the specific conditions for medical device accessories to be exempt from notification or registration with Anvisa?</x:v>
      </x:c>
      <x:c r="I66" s="22" t="str">
        <x:v>Accessories produced by a manufacturer exclusively to integrate into their own medical devices that are already notified or registered are exempt, provided that the technical dossiers contain information about these accessories.</x:v>
      </x:c>
      <x:c r="J66" s="22" t="str">
        <x:v>RDC 751/2022, Art. 2</x:v>
      </x:c>
      <x:c r="K66" s="22" t="str">
        <x:v>Art. 2º Esta Resolução se aplica aos dispositivos médicos nela definidos, sendo obrigatório a notificação ou o registro destes, conforme classificação de risco. § 1º A classificação de risco, os procedimentos e as especificações descritas neste documento, para fins de notificação e registro, se aplicam aos dispositivos médicos e seus acessórios. § 2º Esta Resolução não se aplica aos dispositivos médicos usados ou recondicionados, os quais estão submetidos às regras específicas estabelecidas na Resolução de Diretoria Colegiada - RDC nº 579, de 25 de novembro de 2021 , publicada no DOU nº 225, de 1° de dezembro de 2021. § 3º Esta Resolução não se aplica aos dispositivos médicos sob medida, os quais estão submetidos às regras específicas estabelecidas na Resolução de Diretoria Colegiada - RDC nº 305, de 24 de setembro de 2019 , publicada no DOU nº 186, de 25 de setembro de 2019, Seção 1, pag. 69. (Redação dada pela Resolução 777/2023 ) Redações Anteriores § 4º Esta Resolução não se aplica aos dispositivos médicos para diagnóstico in vitro, incluindo os instrumentos para diagnóstico in vitro, os quais estão submetidos às regras específicas estabelecidas na Resolução de Diretoria Colegiada - RDC nº 36, de 26 de agosto de 2015 , publicada no DOU nº 164, de 27 de agosto de 2015, Seção 1, pág. 43. § 5º Esta Resolução não se aplica aos medicamentos, células, tecidos, órgãos ou sangue de origem humana ou derivados, cosméticos, saneantes ou gêneros alimentícios tratados por outros regulamentos. § 6º Os dispositivos ativos (equipamentos) indicados para correção estética e embelezamento são considerados dispositivos médicos. § 7º Os dispositivos ativos (equipamentos) especificamente destinados à limpeza, desinfecção ou esterilização de dispositivos médicos são considerados dispositivos médicos. § 8º Estão isentos de notificação ou registro os dispositivos médicos destinados a investigações clínicas, cumpridas as disposições legais da autoridade sanitária competente para realização desta atividade, estando proibidos a comercialização e o uso para outros fins. § 9º Estão isentas de notificação ou registro as apresentações constituídas por dois ou mais dispositivos médicos notificados ou registrados e em suas embalagens individuais de apresentação íntegras, devendo conter no rótulo as informações dos dispositivos médicos correspondentes, incluindo os números de notificação ou registro. § 10. Estão isentos de notificação ou registro os acessórios produzidos por um fabricante exclusivamente para integrar os dispositivos médicos de sua fabricação já notificados ou registrados e cujos dossiês técnicos contenham informações sobre estes acessórios. § 11. Os novos acessórios poderão ser incluídos nas notificações ou nos registros originais, detalhando os fundamentos de funcionamento, ação e conteúdo.</x:v>
      </x:c>
      <x:c r="L66" s="21" t="str"/>
      <x:c r="M66" s="21" t="str"/>
      <x:c r="N66" s="21" t="str"/>
      <x:c r="O66" s="21" t="str"/>
      <x:c r="P66" s="21" t="str"/>
      <x:c r="Q66" s="22" t="str"/>
      <x:c r="R66" s="22" t="str"/>
      <x:c r="S66" s="22" t="str"/>
    </x:row>
    <x:row r="67" ht="88.5" customHeight="1">
      <x:c r="A67" s="23" t="n">
        <x:v>66</x:v>
      </x:c>
      <x:c r="B67" s="23" t="str">
        <x:v>DIRECT_34</x:v>
      </x:c>
      <x:c r="C67" s="23" t="str">
        <x:v>Direct</x:v>
      </x:c>
      <x:c r="D67" s="23" t="str">
        <x:v>direct_article</x:v>
      </x:c>
      <x:c r="E67" s="23" t="str">
        <x:v>Yes</x:v>
      </x:c>
      <x:c r="F67" s="22" t="str">
        <x:v>Quais informações devem obrigatoriamente constar no modelo de rótulo de um dispositivo médico?</x:v>
      </x:c>
      <x:c r="G67" s="22" t="str">
        <x:v>O rótulo deve conter: razão social e endereço do fabricante legal e do detentor do registro/notificação, identificação do dispositivo e conteúdo, método de esterilização (se aplicável), lote ou número de série, data de fabricação e validade, indicação de uso único (se aplicável), condições de armazenamento, instruções de uso, advertências, nome do responsável técnico e número da notificação ou registro.</x:v>
      </x:c>
      <x:c r="H67" s="22" t="str">
        <x:v>What information must mandatorily appear on the label model of a medical device?</x:v>
      </x:c>
      <x:c r="I67" s="22" t="str">
        <x:v>The label must contain: legal name and address of the legal manufacturer and the registration/notification holder, device identification and content, sterilization method (if applicable), lot or serial number, manufacturing and expiration date, single-use indication (if applicable), storage conditions, instructions for use, warnings, name of the technical manager, and the notification or registration number.</x:v>
      </x:c>
      <x:c r="J67" s="22" t="str">
        <x:v>RDC 751/2022, Art. 47</x:v>
      </x:c>
      <x:c r="K67" s="22" t="str">
        <x:v>Art. 47. O modelo de rótulo deve conter as seguintes informações: I - razão social e endereço do fabricante legal, precedido do termo "fabricante" ou de simbologia equivalente; II - razão social e endereço do detentor da notificação ou do registro; III - as informações necessárias para que o usuário possa identificar o dispositivo médico e o conteúdo de sua embalagem; IV - quando aplicável, a palavra "Estéril" e o método de esterilização; V - o código do lote, precedido da palavra "Lote", ou o número de série, conforme o caso; VI - conforme aplicável, data de fabricação e prazo de validade ou data antes da qual o dispositivo médico deverá ser utilizado; VII - quando aplicável, a indicação de que o dispositivo médico é de uso único; VIII - as condições específicas de armazenamento, conservação e manipulação do produto; IX - as instruções especiais para operação e/ou uso do dispositivo médico; X - todas as advertências e precauções a serem adotadas; XI - nome do responsável técnico legalmente habilitado para a função; XII - número da notificação ou do registro do dispositivo médico, precedido da sigla de identificação da Anvisa.</x:v>
      </x:c>
      <x:c r="L67" s="21" t="str"/>
      <x:c r="M67" s="21" t="str"/>
      <x:c r="N67" s="21" t="str"/>
      <x:c r="O67" s="21" t="str"/>
      <x:c r="P67" s="21" t="str"/>
      <x:c r="Q67" s="22" t="str"/>
      <x:c r="R67" s="22" t="str"/>
      <x:c r="S67" s="22" t="str"/>
    </x:row>
    <x:row r="68" ht="88.5" customHeight="1">
      <x:c r="A68" s="23" t="n">
        <x:v>67</x:v>
      </x:c>
      <x:c r="B68" s="23" t="str">
        <x:v>UNANS_06</x:v>
      </x:c>
      <x:c r="C68" s="23" t="str">
        <x:v>Unanswerable</x:v>
      </x:c>
      <x:c r="D68" s="23" t="str">
        <x:v>unanswerable_tax</x:v>
      </x:c>
      <x:c r="E68" s="23" t="str">
        <x:v>No</x:v>
      </x:c>
      <x:c r="F68" s="22" t="str">
        <x:v>Qual imposto incide sobre a venda de um dispositivo médico?</x:v>
      </x:c>
      <x:c r="G68" s="22" t="str">
        <x:v>Os documentos recuperados nao fornecem informacao suficiente para responder.</x:v>
      </x:c>
      <x:c r="H68" s="22" t="str">
        <x:v>Which tax applies to the sale of a medical device?</x:v>
      </x:c>
      <x:c r="I68" s="22" t="str">
        <x:v>The retrieved documents do not provide enough information to answer.</x:v>
      </x:c>
      <x:c r="J68" s="22" t="str"/>
      <x:c r="K68" s="22" t="str"/>
      <x:c r="L68" s="21" t="str"/>
      <x:c r="M68" s="21" t="str"/>
      <x:c r="N68" s="21" t="str"/>
      <x:c r="O68" s="21" t="str"/>
      <x:c r="P68" s="21" t="str"/>
      <x:c r="Q68" s="22" t="str"/>
      <x:c r="R68" s="22" t="str"/>
      <x:c r="S68" s="22" t="str"/>
    </x:row>
    <x:row r="69" ht="88.5" customHeight="1">
      <x:c r="A69" s="23" t="n">
        <x:v>68</x:v>
      </x:c>
      <x:c r="B69" s="23" t="str">
        <x:v>UNANS_04</x:v>
      </x:c>
      <x:c r="C69" s="23" t="str">
        <x:v>Unanswerable</x:v>
      </x:c>
      <x:c r="D69" s="23" t="str">
        <x:v>unanswerable_reimbursement</x:v>
      </x:c>
      <x:c r="E69" s="23" t="str">
        <x:v>No</x:v>
      </x:c>
      <x:c r="F69" s="22" t="str">
        <x:v>Qual valor o sistema de saúde reembolsa por este medicamento?</x:v>
      </x:c>
      <x:c r="G69" s="22" t="str">
        <x:v>Os documentos recuperados nao fornecem informacao suficiente para responder.</x:v>
      </x:c>
      <x:c r="H69" s="22" t="str">
        <x:v>How much does the health system reimburse for this medicine?</x:v>
      </x:c>
      <x:c r="I69" s="22" t="str">
        <x:v>The retrieved documents do not provide enough information to answer.</x:v>
      </x:c>
      <x:c r="J69" s="22" t="str"/>
      <x:c r="K69" s="22" t="str"/>
      <x:c r="L69" s="21" t="str"/>
      <x:c r="M69" s="21" t="str"/>
      <x:c r="N69" s="21" t="str"/>
      <x:c r="O69" s="21" t="str"/>
      <x:c r="P69" s="21" t="str"/>
      <x:c r="Q69" s="22" t="str"/>
      <x:c r="R69" s="22" t="str"/>
      <x:c r="S69" s="22" t="str"/>
    </x:row>
    <x:row r="70" ht="88.5" customHeight="1">
      <x:c r="A70" s="23" t="n">
        <x:v>69</x:v>
      </x:c>
      <x:c r="B70" s="23" t="str">
        <x:v>DIRECT_58</x:v>
      </x:c>
      <x:c r="C70" s="23" t="str">
        <x:v>Direct</x:v>
      </x:c>
      <x:c r="D70" s="23" t="str">
        <x:v>direct_article</x:v>
      </x:c>
      <x:c r="E70" s="23" t="str">
        <x:v>Yes</x:v>
      </x:c>
      <x:c r="F70" s="22" t="str">
        <x:v>A quais tipos de petições o procedimento otimizado de análise é aplicável?</x:v>
      </x:c>
      <x:c r="G70" s="22" t="str">
        <x:v>É aplicável às petições primárias de DDCM e DEEC e às petições secundárias de modificações substanciais ao produto sob investigação e emendas substanciais ao protocolo clínico.</x:v>
      </x:c>
      <x:c r="H70" s="22" t="str">
        <x:v>To which types of petitions is the optimized analysis procedure applicable?</x:v>
      </x:c>
      <x:c r="I70" s="22" t="str">
        <x:v>It is applicable to primary DDCM and DEEC petitions and to secondary petitions for substantial modifications to the investigational product and substantial amendments to the clinical protocol.</x:v>
      </x:c>
      <x:c r="J70" s="22" t="str">
        <x:v>IN 338/2024, Art. 2</x:v>
      </x:c>
      <x:c r="K70" s="22" t="str">
        <x:v>Art. 2º O procedimento otimizado de análise é aplicável às petições primárias de DDCM e DEEC e às petições secundárias de modificações substanciais ao produto sob investigação e emendas substanciais ao protocolo clínico.</x:v>
      </x:c>
      <x:c r="L70" s="21" t="str"/>
      <x:c r="M70" s="21" t="str"/>
      <x:c r="N70" s="21" t="str"/>
      <x:c r="O70" s="21" t="str"/>
      <x:c r="P70" s="21" t="str"/>
      <x:c r="Q70" s="22" t="str"/>
      <x:c r="R70" s="22" t="str"/>
      <x:c r="S70" s="22" t="str"/>
    </x:row>
    <x:row r="71" ht="88.5" customHeight="1">
      <x:c r="A71" s="23" t="n">
        <x:v>70</x:v>
      </x:c>
      <x:c r="B71" s="23" t="str">
        <x:v>COMPLEX_08</x:v>
      </x:c>
      <x:c r="C71" s="23" t="str">
        <x:v>Complex</x:v>
      </x:c>
      <x:c r="D71" s="23" t="str">
        <x:v>multi_article</x:v>
      </x:c>
      <x:c r="E71" s="23" t="str">
        <x:v>Yes</x:v>
      </x:c>
      <x:c r="F71" s="22" t="str">
        <x:v>Quais documentos e planos devem ser apresentados pela empresa solicitante no ato do protocolo de pedido de registro de um produto biológico?</x:v>
      </x:c>
      <x:c r="G71" s="22" t="str">
        <x:v>A empresa deve apresentar um processo único contendo: plano de farmacovigilância, plano de minimização de risco, formulários FP1 e FP2, comprovante de pagamento da taxa, declaração de porte, Licença de Funcionamento/Alvará, Certificado de Autorização de Funcionamento, Certificado de Responsabilidade Técnica, justificativa técnica, CBPF (Anvisa e país de origem), histórico de registro, comprovante de registro no país de origem, bula (modelo e tradução), embalagens, dados de farmacovigilância, código de barras (GTIN), compêndio de especificações, informações de EET, relatório técnico, relatório de experimentação terapêutica e relatório de farmacovigilância.</x:v>
      </x:c>
      <x:c r="H71" s="22" t="str">
        <x:v>What documents and plans must be submitted by the applicant company at the time of the registration request protocol for a biological product?</x:v>
      </x:c>
      <x:c r="I71" s="22" t="str">
        <x:v>The company must submit a single process containing: pharmacovigilance plan, risk minimization plan, FP1 and FP2 forms, proof of fee payment, company size declaration, Operating License/Sanitary Permit, Certificate of Authorization, Technical Responsibility Certificate, technical justification, CBPF (Anvisa and country of origin), registration history, proof of registration in the country of origin, package insert (model and translation), packaging, pharmacovigilance data, barcode (GTIN), specification compendium, TSE information, technical report, therapeutic experimentation report, and pharmacovigilance report.</x:v>
      </x:c>
      <x:c r="J71" s="22" t="str">
        <x:v>RDC 55/2010, Art. 29; RDC 55/2010, Art. 30</x:v>
      </x:c>
      <x:c r="K71" s="22" t="str">
        <x:v>Art. 29. Independentemente da via de desenvolvimento utilizada, no ato do protocolo do pedido de registro de um produto biológico novo ou produto biológico, a empresa solicitante deverá apresentar um plano de farmacovigilância e um plano de minimização de risco de acordo com a legislação sanitária vigente. DE PRODUTOS BIOLÓGICOS e Produtos Biológicos
Art. 30. No ato do protocolo de pedido de registro de um produto biológico novo ou produto biológico, a empresa solicitante deverá protocolar um processo único, apresentando os seguintes documentos: I - formulários de petição de registro - FP1 e FP2, devidamente preenchidos; II - via original do comprovante de pagamento da taxa de fiscalização de vigilância sanitária, devidamente autenticada e/ou carimbada pelo banco, ou comprovante de isenção quando for o caso; III - declaração do enquadramento do porte (capacidade econômica) da empresa; IV - cópia da Licença de Funcionamento da Empresa e/ou do Alvará Sanitário; V - cópia do Certificado de Autorização de Funcionamento da Empresa ou de sua publicação em Diário Oficial da União (DOU); VI - cópia do Certificado de Responsabilidade Técnica atualizado, emitido pelo Conselho Regional de Farmácia, comprovando que a empresa solicitante e/ou fabricante tem assistência do farmacêutico responsável habilitado para aquele fim; VII - justificativa técnica para o registro do produto; VIII - cópia do Certificado de Boas Práticas de Fabricação (CBPF) expedido pela Anvisa para todos os fabricantes do princípio ativo, do produto biológico a granel, do produto biológico em sua embalagem primária, do produto biológico terminado, do diluente e do adjuvante; IX - cópia do CBPF, emitido pela autoridade sanitária competente do país onde se localiza o fabricante do princípio ativo, do produto biológico a granel, do produto biológico em sua embalagem primária, do produto biológico terminado, do diluente e do adjuvante; X - histórico da situação de registro do produto biológico em outros países, quando for o caso; XI - cópia do comprovante de registro no país de origem do produto biológico, emitido pela respectiva Autoridade Sanitária competente; XII - cópia do modelo de bula aprovada pela autoridade sanitária competente do país de origem, acompanhada de tradução juramentada; XIII - modelos de bula e embalagens primária e secundária, de acordo com a legislação vigente; XIV - dados de farmacovigilância atualizados, de acordo com a legislação sanitária vigente, obtidos de estudos clínicos e da comercialização do produto, quando aplicável; XV - código de barras (GTIN), para toda(s) a(s) apresentação(ões) ou mecanismos de identificação e segurança que possibilitem o rastreamento do produto de acordo com a legislação sanitária vigente; XVI - cópia do compêndio nacional, internacional ou interno da empresa com a determinação das especificações do produto biológico terminado; XVII - informações adicionais de acordo com a legislação vigente sobre o controle de EET, quando aplicável; XVIII - relatório técnico; XIX - relatório de experimentação terapêutica; e XX - relatório de farmacovigilância. Biológico</x:v>
      </x:c>
      <x:c r="L71" s="21" t="str"/>
      <x:c r="M71" s="21" t="str"/>
      <x:c r="N71" s="21" t="str"/>
      <x:c r="O71" s="21" t="str"/>
      <x:c r="P71" s="21" t="str"/>
      <x:c r="Q71" s="22" t="str"/>
      <x:c r="R71" s="22" t="str"/>
      <x:c r="S71" s="22" t="str"/>
    </x:row>
    <x:row r="72" ht="88.5" customHeight="1">
      <x:c r="A72" s="23" t="n">
        <x:v>71</x:v>
      </x:c>
      <x:c r="B72" s="23" t="str">
        <x:v>COMPLEX_09</x:v>
      </x:c>
      <x:c r="C72" s="23" t="str">
        <x:v>Complex</x:v>
      </x:c>
      <x:c r="D72" s="23" t="str">
        <x:v>multi_article</x:v>
      </x:c>
      <x:c r="E72" s="23" t="str">
        <x:v>Yes</x:v>
      </x:c>
      <x:c r="F72" s="22" t="str">
        <x:v>Quais dispositivos médicos estão excluídos da aplicação da RDC 751/2022 e quais estão isentos de notificação ou registro?</x:v>
      </x:c>
      <x:c r="G72" s="22" t="str">
        <x:v>A RDC não se aplica a dispositivos usados/recondicionados, sob medida, para diagnóstico in vitro, medicamentos, células, tecidos, órgãos, sangue, cosméticos, saneantes ou alimentos. Estão isentos de notificação ou registro: dispositivos para investigações clínicas, apresentações com dois ou mais dispositivos já registrados (embalagens íntegras) e acessórios produzidos pelo fabricante para integrar seus próprios dispositivos já registrados.</x:v>
      </x:c>
      <x:c r="H72" s="22" t="str">
        <x:v>Which medical devices are excluded from the application of RDC 751/2022 and which are exempt from notification or registration?</x:v>
      </x:c>
      <x:c r="I72" s="22" t="str">
        <x:v>The RDC does not apply to used/refurbished, custom-made, or in vitro diagnostic medical devices, nor to medicines, cells, tissues, organs, blood, cosmetics, sanitizers, or food. Exempt from notification or registration are: devices for clinical investigations, presentations consisting of two or more already registered devices (intact packaging), and accessories produced by the manufacturer to integrate their own already registered devices.</x:v>
      </x:c>
      <x:c r="J72" s="22" t="str">
        <x:v>RDC 751/2022, Art. 1; RDC 751/2022, Art. 2</x:v>
      </x:c>
      <x:c r="K72" s="22" t="str">
        <x:v>Art. 1º Esta Resolução define as regras de classificação de risco de dispositivos médicos, os requisitos de rotulagem e de instruções de uso, e os procedimentos para notificação, registro, alteração, revalidação e cancelamento de notificação ou registro de dispositivos médicos.
Art. 2º Esta Resolução se aplica aos dispositivos médicos nela definidos, sendo obrigatório a notificação ou o registro destes, conforme classificação de risco. § 1º A classificação de risco, os procedimentos e as especificações descritas neste documento, para fins de notificação e registro, se aplicam aos dispositivos médicos e seus acessórios. § 2º Esta Resolução não se aplica aos dispositivos médicos usados ou recondicionados, os quais estão submetidos às regras específicas estabelecidas na Resolução de Diretoria Colegiada - RDC nº 579, de 25 de novembro de 2021 , publicada no DOU nº 225, de 1° de dezembro de 2021. § 3º Esta Resolução não se aplica aos dispositivos médicos sob medida, os quais estão submetidos às regras específicas estabelecidas na Resolução de Diretoria Colegiada - RDC nº 305, de 24 de setembro de 2019 , publicada no DOU nº 186, de 25 de setembro de 2019, Seção 1, pag. 69. (Redação dada pela Resolução 777/2023 ) Redações Anteriores § 4º Esta Resolução não se aplica aos dispositivos médicos para diagnóstico in vitro, incluindo os instrumentos para diagnóstico in vitro, os quais estão submetidos às regras específicas estabelecidas na Resolução de Diretoria Colegiada - RDC nº 36, de 26 de agosto de 2015 , publicada no DOU nº 164, de 27 de agosto de 2015, Seção 1, pág. 43. § 5º Esta Resolução não se aplica aos medicamentos, células, tecidos, órgãos ou sangue de origem humana ou derivados, cosméticos, saneantes ou gêneros alimentícios tratados por outros regulamentos. § 6º Os dispositivos ativos (equipamentos) indicados para correção estética e embelezamento são considerados dispositivos médicos. § 7º Os dispositivos ativos (equipamentos) especificamente destinados à limpeza, desinfecção ou esterilização de dispositivos médicos são considerados dispositivos médicos. § 8º Estão isentos de notificação ou registro os dispositivos médicos destinados a investigações clínicas, cumpridas as disposições legais da autoridade sanitária competente para realização desta atividade, estando proibidos a comercialização e o uso para outros fins. § 9º Estão isentas de notificação ou registro as apresentações constituídas por dois ou mais dispositivos médicos notificados ou registrados e em suas embalagens individuais de apresentação íntegras, devendo conter no rótulo as informações dos dispositivos médicos correspondentes, incluindo os números de notificação ou registro. § 10. Estão isentos de notificação ou registro os acessórios produzidos por um fabricante exclusivamente para integrar os dispositivos médicos de sua fabricação já notificados ou registrados e cujos dossiês técnicos contenham informações sobre estes acessórios. § 11. Os novos acessórios poderão ser incluídos nas notificações ou nos registros originais, detalhando os fundamentos de funcionamento, ação e conteúdo.</x:v>
      </x:c>
      <x:c r="L72" s="21" t="str"/>
      <x:c r="M72" s="21" t="str"/>
      <x:c r="N72" s="21" t="str"/>
      <x:c r="O72" s="21" t="str"/>
      <x:c r="P72" s="21" t="str"/>
      <x:c r="Q72" s="22" t="str"/>
      <x:c r="R72" s="22" t="str"/>
      <x:c r="S72" s="22" t="str"/>
    </x:row>
    <x:row r="73" ht="88.5" customHeight="1">
      <x:c r="A73" s="23" t="n">
        <x:v>72</x:v>
      </x:c>
      <x:c r="B73" s="23" t="str">
        <x:v>DIRECT_42</x:v>
      </x:c>
      <x:c r="C73" s="23" t="str">
        <x:v>Direct</x:v>
      </x:c>
      <x:c r="D73" s="23" t="str">
        <x:v>direct_article</x:v>
      </x:c>
      <x:c r="E73" s="23" t="str">
        <x:v>Yes</x:v>
      </x:c>
      <x:c r="F73" s="22" t="str">
        <x:v>Como o Detentor de Registro de Medicamento deve proceder caso não consiga atender a uma solicitação de informação da autoridade sanitária dentro do prazo?</x:v>
      </x:c>
      <x:c r="G73" s="22" t="str">
        <x:v>Deve apresentar um pedido de dilação de prazo acompanhado de justificativa, ou encaminhar dados parciais com justificativa e um plano para a entrega da totalidade da informação.</x:v>
      </x:c>
      <x:c r="H73" s="22" t="str">
        <x:v>How should a Marketing Authorization Holder proceed if they cannot meet a request for information from the health authority within the deadline?</x:v>
      </x:c>
      <x:c r="I73" s="22" t="str">
        <x:v>They must submit a request for an extension of the deadline accompanied by a justification, or submit partial data with a justification and a plan for the delivery of the complete requested information.</x:v>
      </x:c>
      <x:c r="J73" s="22" t="str">
        <x:v>RDC 406/2020, Art. 4</x:v>
      </x:c>
      <x:c r="K73" s="22" t="str">
        <x:v>Art. 4º O Detentor de Registro de Medicamento deve apresentar toda e qualquer informação solicitada, para fins de Farmacovigilância, dentro do prazo estabelecido pela autoridade sanitária. § 1º É recomendável que o Detentor de Registro de Medicamento apresente as informações de que trata o caput deste artigo no menor tempo possível. § 2º Caso o Detentor de Registro de Medicamento não possa apresentar a informação de que trata o caput deste artigo dentro do prazo estipulado pela autoridade sanitária, pedido de dilação de prazo deverá ser apresentado, acompanhado de justificativa. § 3º Dados parciais poderão ser encaminhados, dentro do prazo estabelecido pela autoridade sanitária, mediante justificativa e plano para a entrega da totalidade da informação demandada.</x:v>
      </x:c>
      <x:c r="L73" s="21" t="str"/>
      <x:c r="M73" s="21" t="str"/>
      <x:c r="N73" s="21" t="str"/>
      <x:c r="O73" s="21" t="str"/>
      <x:c r="P73" s="21" t="str"/>
      <x:c r="Q73" s="22" t="str"/>
      <x:c r="R73" s="22" t="str"/>
      <x:c r="S73" s="22" t="str"/>
    </x:row>
    <x:row r="74" ht="88.5" customHeight="1">
      <x:c r="A74" s="23" t="n">
        <x:v>73</x:v>
      </x:c>
      <x:c r="B74" s="23" t="str">
        <x:v>DIRECT_18</x:v>
      </x:c>
      <x:c r="C74" s="23" t="str">
        <x:v>Direct</x:v>
      </x:c>
      <x:c r="D74" s="23" t="str">
        <x:v>direct_article</x:v>
      </x:c>
      <x:c r="E74" s="23" t="str">
        <x:v>Yes</x:v>
      </x:c>
      <x:c r="F74" s="22" t="str">
        <x:v>Quais estudos clínicos devem ser apresentados no protocolo de registro de um produto biológico?</x:v>
      </x:c>
      <x:c r="G74" s="22" t="str">
        <x:v>Devem ser apresentados protocolos e relatórios de estudos de farmacocinética, estudos de farmacodinâmica e estudo(s) pivotal(is) de segurança e eficácia clínica.</x:v>
      </x:c>
      <x:c r="H74" s="22" t="str">
        <x:v>Which clinical studies must be submitted in the registration protocol for a biological product?</x:v>
      </x:c>
      <x:c r="I74" s="22" t="str">
        <x:v>Protocols and reports for pharmacokinetic studies, pharmacodynamic studies, and pivotal clinical safety and efficacy study(ies) must be submitted.</x:v>
      </x:c>
      <x:c r="J74" s="22" t="str">
        <x:v>RDC 55/2010, Art. 46</x:v>
      </x:c>
      <x:c r="K74" s="22" t="str">
        <x:v>Art. 46. No ato do protocolo do pedido de registro de um produto biológico, a empresa solicitante deverá apresentar os protocolos e relatórios dos seguintes estudos clínicos: I - estudos de farmacocinética; II - estudos de farmacodinâmica; e III - estudo(s) pivotal(is) de segurança e eficácia clínica. § 1º Os estudos de farmacodinâmica podem ser combinados com estudos de farmacocinética, desde que caracterizada a relação farmacocinética/farmacodinâmica. § 2º Os estudos clínicos comparativos são necessários para demonstrar a comparabilidade dos perfis de eficácia e segurança entre o produto biológico e o produto biológico comparador. § 3º O desenho e as margens de comparabilidade dos estudos de segurança e eficácia previstos no inciso III deste artigo devem ser especificados e respaldados estatística e clinicamente. § 4º Quando disponíveis, os resultados de estudos fase IV deverão ser apresentados.</x:v>
      </x:c>
      <x:c r="L74" s="21" t="str"/>
      <x:c r="M74" s="21" t="str"/>
      <x:c r="N74" s="21" t="str"/>
      <x:c r="O74" s="21" t="str"/>
      <x:c r="P74" s="21" t="str"/>
      <x:c r="Q74" s="22" t="str"/>
      <x:c r="R74" s="22" t="str"/>
      <x:c r="S74" s="22" t="str"/>
    </x:row>
    <x:row r="75" ht="88.5" customHeight="1">
      <x:c r="A75" s="23" t="n">
        <x:v>74</x:v>
      </x:c>
      <x:c r="B75" s="23" t="str">
        <x:v>DIRECT_04</x:v>
      </x:c>
      <x:c r="C75" s="23" t="str">
        <x:v>Direct</x:v>
      </x:c>
      <x:c r="D75" s="23" t="str">
        <x:v>direct_article</x:v>
      </x:c>
      <x:c r="E75" s="23" t="str">
        <x:v>Yes</x:v>
      </x:c>
      <x:c r="F75" s="22" t="str">
        <x:v>Qual é o prazo máximo para a protocolização do relatório final de um ensaio clínico após o seu término?</x:v>
      </x:c>
      <x:c r="G75" s="22" t="str">
        <x:v>O relatório final deve ser protocolizado em até 12 meses da data de término do ensaio clínico.</x:v>
      </x:c>
      <x:c r="H75" s="22" t="str">
        <x:v>What is the maximum deadline for filing the final report of a clinical trial after its conclusion?</x:v>
      </x:c>
      <x:c r="I75" s="22" t="str">
        <x:v>The final report must be filed within 12 months from the clinical trial completion date.</x:v>
      </x:c>
      <x:c r="J75" s="22" t="str">
        <x:v>RDC 9/2015, Art. 69</x:v>
      </x:c>
      <x:c r="K75" s="22" t="str">
        <x:v>Art. 69 . Após a conclusão das atividades de um ensaio clínico em todos os países participantes , por quaisquer razões, o patrocinador deverá submeter à Anvisa um relatório final contendo, minimamente, as seguintes informações: I- título do ensaio clínico; II- código do protocolo; III- discriminação do número de participantes recrutados e retirados do ensaio clínico ; IV- descrição de pacientes incluídos em cada análise estatística e daqueles que foram e xcluídos da análise de eficá cia; V- descrição demográfica de participant es recrutados no ensaio clínico; VI- análise estatística ; VII- número e descrição dos d esvios e violações ao protocolo; VIII- relação de todos os eventos adversos e anormalidades laboratoriais com avaliaçã o de causalid ade ocorridas por participantes; IX- os resultados obtidos na mensuração dos desfechos para cada participante do ensaio clínico; e X- racional para o término prematuro do desenvolvimento no Brasil ou no mundo, quando aplicável. §1º O relató rio final de protocolo de ensaio clínico deve ser submetido à Anvisa na forma de petição secundária anexada ao processo do respectivo protocolo ao qual está vinculado. §2º O relatório final deve ser protocolizado em até 12 (doze) meses da data de término do ensaio clínico. Sub experimental</x:v>
      </x:c>
      <x:c r="L75" s="21" t="str"/>
      <x:c r="M75" s="21" t="str"/>
      <x:c r="N75" s="21" t="str"/>
      <x:c r="O75" s="21" t="str"/>
      <x:c r="P75" s="21" t="str"/>
      <x:c r="Q75" s="22" t="str"/>
      <x:c r="R75" s="22" t="str"/>
      <x:c r="S75" s="22" t="str"/>
    </x:row>
    <x:row r="76" ht="88.5" customHeight="1">
      <x:c r="A76" s="23" t="n">
        <x:v>75</x:v>
      </x:c>
      <x:c r="B76" s="23" t="str">
        <x:v>UNANS_05</x:v>
      </x:c>
      <x:c r="C76" s="23" t="str">
        <x:v>Unanswerable</x:v>
      </x:c>
      <x:c r="D76" s="23" t="str">
        <x:v>unanswerable_patent</x:v>
      </x:c>
      <x:c r="E76" s="23" t="str">
        <x:v>No</x:v>
      </x:c>
      <x:c r="F76" s="22" t="str">
        <x:v>Quando expira a patente comercial de um produto biológico específico?</x:v>
      </x:c>
      <x:c r="G76" s="22" t="str">
        <x:v>Os documentos recuperados nao fornecem informacao suficiente para responder.</x:v>
      </x:c>
      <x:c r="H76" s="22" t="str">
        <x:v>When does the commercial patent for a specific biological product expire?</x:v>
      </x:c>
      <x:c r="I76" s="22" t="str">
        <x:v>The retrieved documents do not provide enough information to answer.</x:v>
      </x:c>
      <x:c r="J76" s="22" t="str"/>
      <x:c r="K76" s="22" t="str"/>
      <x:c r="L76" s="21" t="str"/>
      <x:c r="M76" s="21" t="str"/>
      <x:c r="N76" s="21" t="str"/>
      <x:c r="O76" s="21" t="str"/>
      <x:c r="P76" s="21" t="str"/>
      <x:c r="Q76" s="22" t="str"/>
      <x:c r="R76" s="22" t="str"/>
      <x:c r="S76" s="22" t="str"/>
    </x:row>
    <x:row r="77" ht="88.5" customHeight="1">
      <x:c r="A77" s="23" t="n">
        <x:v>76</x:v>
      </x:c>
      <x:c r="B77" s="23" t="str">
        <x:v>DIRECT_43</x:v>
      </x:c>
      <x:c r="C77" s="23" t="str">
        <x:v>Direct</x:v>
      </x:c>
      <x:c r="D77" s="23" t="str">
        <x:v>direct_article</x:v>
      </x:c>
      <x:c r="E77" s="23" t="str">
        <x:v>Yes</x:v>
      </x:c>
      <x:c r="F77" s="22" t="str">
        <x:v>Qual é a periodicidade recomendada para a realização da autoinspeção no Sistema de Farmacovigilância e por quanto tempo os registros devem ser mantidos?</x:v>
      </x:c>
      <x:c r="G77" s="22" t="str">
        <x:v>A autoinspeção deve ser realizada preferencialmente uma vez por ano, não excedendo o prazo de dois anos, e os registros devem ser mantidos por, no mínimo, cinco anos.</x:v>
      </x:c>
      <x:c r="H77" s="22" t="str">
        <x:v>What is the recommended frequency for conducting self-inspections in the Pharmacovigilance System and for how long must the records be kept?</x:v>
      </x:c>
      <x:c r="I77" s="22" t="str">
        <x:v>Self-inspections should preferably be conducted once a year, not exceeding a two-year period, and records must be kept for at least five years.</x:v>
      </x:c>
      <x:c r="J77" s="22" t="str">
        <x:v>RDC 406/2020, Art. 28</x:v>
      </x:c>
      <x:c r="K77" s="22" t="str">
        <x:v>Art. 28. O Detentor de Registro de Medicamento deve realizar, preferencialmente, 1 (uma) autoinspeção no Sistema de Farmacovigilância por ano, não excedendo o prazo de 2 (dois) anos para sua a realização, mantendo em seu poder o registro dessa atividade, com a descrição das Ações Corretivas e Preventivas necessárias ao processo de melhoria contínua. § 1º As Autoinspeções em Farmacovigilância devem ser registradas em documentos a serem mantidos pelo Detentor de Registro de Medicamento por, no mínimo, 5 (cinco) anos, e seus registros poderão ser solicitados pelo SNVS a qualquer tempo. § 2º A Autoinspeção em Farmacovigilância deve compreender também as atividades e instalações de terceiros, nos casos de terceirização das atividades de Farmacovigilância.</x:v>
      </x:c>
      <x:c r="L77" s="21" t="str"/>
      <x:c r="M77" s="21" t="str"/>
      <x:c r="N77" s="21" t="str"/>
      <x:c r="O77" s="21" t="str"/>
      <x:c r="P77" s="21" t="str"/>
      <x:c r="Q77" s="22" t="str"/>
      <x:c r="R77" s="22" t="str"/>
      <x:c r="S77" s="22" t="str"/>
    </x:row>
    <x:row r="78" ht="88.5" customHeight="1">
      <x:c r="A78" s="23" t="n">
        <x:v>77</x:v>
      </x:c>
      <x:c r="B78" s="23" t="str">
        <x:v>DIRECT_22</x:v>
      </x:c>
      <x:c r="C78" s="23" t="str">
        <x:v>Direct</x:v>
      </x:c>
      <x:c r="D78" s="23" t="str">
        <x:v>direct_article</x:v>
      </x:c>
      <x:c r="E78" s="23" t="str">
        <x:v>Yes</x:v>
      </x:c>
      <x:c r="F78" s="22" t="str">
        <x:v>Como o detentor de um registro de produto biológico deve proceder caso seu registro seja cancelado ou caducado, caso deseje obter um novo registro?</x:v>
      </x:c>
      <x:c r="G78" s="22" t="str">
        <x:v>O detentor deve reiniciar todos os procedimentos necessários para obter o registro do produto biológico novo ou produto biológico, conforme a legislação sanitária vigente.</x:v>
      </x:c>
      <x:c r="H78" s="22" t="str">
        <x:v>How must the holder of a biological product registration proceed if their registration is cancelled or expired, should they wish to obtain a new registration?</x:v>
      </x:c>
      <x:c r="I78" s="22" t="str">
        <x:v>The holder must restart all procedures necessary to obtain the registration of the new biological product or biological product, in accordance with current sanitary legislation.</x:v>
      </x:c>
      <x:c r="J78" s="22" t="str">
        <x:v>RDC 55/2010, Art. 15</x:v>
      </x:c>
      <x:c r="K78" s="22" t="str">
        <x:v>Art. 15. O detentor do registro de produto biológico novo ou produto biológico que tenha seu registro caducado ou cancelado somente poderá obter um novo registro do mesmo medicamento se reiniciar os procedimentos necessários para obter o registro do produto biológico novo ou produto biológico, de acordo com a legislação sanitária vigente.</x:v>
      </x:c>
      <x:c r="L78" s="21" t="str"/>
      <x:c r="M78" s="21" t="str"/>
      <x:c r="N78" s="21" t="str"/>
      <x:c r="O78" s="21" t="str"/>
      <x:c r="P78" s="21" t="str"/>
      <x:c r="Q78" s="22" t="str"/>
      <x:c r="R78" s="22" t="str"/>
      <x:c r="S78" s="22" t="str"/>
    </x:row>
    <x:row r="79" ht="88.5" customHeight="1">
      <x:c r="A79" s="23" t="n">
        <x:v>78</x:v>
      </x:c>
      <x:c r="B79" s="23" t="str">
        <x:v>COMPLEX_04</x:v>
      </x:c>
      <x:c r="C79" s="23" t="str">
        <x:v>Complex</x:v>
      </x:c>
      <x:c r="D79" s="23" t="str">
        <x:v>exception</x:v>
      </x:c>
      <x:c r="E79" s="23" t="str">
        <x:v>Yes</x:v>
      </x:c>
      <x:c r="F79" s="22" t="str">
        <x:v>Em quais situações deve ser elaborado um Plano de Minimização de Risco e o que o Detentor de Registro deve justificar e prever?</x:v>
      </x:c>
      <x:c r="G79" s="22" t="str">
        <x:v>Deve ser elaborado quando houver riscos identificados ou potenciais importantes, informações críticas, ou por solicitação da autoridade sanitária. O Detentor deve justificar o método de execução e prever a avaliação da efetividade das ações de minimização.</x:v>
      </x:c>
      <x:c r="H79" s="22" t="str">
        <x:v>In which situations must a Risk Minimization Plan be prepared and what must the Registration Holder justify and foresee?</x:v>
      </x:c>
      <x:c r="I79" s="22" t="str">
        <x:v>It must be prepared when there are important identified or potential risks, critical information, or upon request by the health authority. The Holder must justify the execution method and foresee the evaluation of the effectiveness of the minimization actions.</x:v>
      </x:c>
      <x:c r="J79" s="22" t="str">
        <x:v>RDC 406/2020, Art. 46</x:v>
      </x:c>
      <x:c r="K79" s="22" t="str">
        <x:v>Art. 46. Quando houver Riscos Identificados importantes, Riscos Potenciais importantes ou informações críticas que mereçam ações adicionais, com vistas à minimização dos riscos em questão, ou ainda, quando solicitado pela autoridade sanitária, deve ser elaborado Plano de Minimização de Risco, a ser peticionado à Anvisa como parte do Plano de Gerenciamento de Risco, no momento do registro, ou a qualquer tempo, nos casos em que o medicamento já tenha sido comercializado. § 1º O Detentor de Registro de Medicamento deve justificar o método proposto para a execução de seu Plano de Minimização de Risco e prever a avaliação da efetividade das ações propostas para minimizar os riscos do medicamento em questão. § 2º Situações em que o medicamento tenha um provável uso não estudado adequadamente no período pré-registro devem estar contempladas no Plano de Minimização de Risco.</x:v>
      </x:c>
      <x:c r="L79" s="21" t="str"/>
      <x:c r="M79" s="21" t="str"/>
      <x:c r="N79" s="21" t="str"/>
      <x:c r="O79" s="21" t="str"/>
      <x:c r="P79" s="21" t="str"/>
      <x:c r="Q79" s="22" t="str"/>
      <x:c r="R79" s="22" t="str"/>
      <x:c r="S79" s="22" t="str"/>
    </x:row>
    <x:row r="80" ht="88.5" customHeight="1">
      <x:c r="A80" s="23" t="n">
        <x:v>79</x:v>
      </x:c>
      <x:c r="B80" s="23" t="str">
        <x:v>DIRECT_36</x:v>
      </x:c>
      <x:c r="C80" s="23" t="str">
        <x:v>Direct</x:v>
      </x:c>
      <x:c r="D80" s="23" t="str">
        <x:v>direct_article</x:v>
      </x:c>
      <x:c r="E80" s="23" t="str">
        <x:v>Yes</x:v>
      </x:c>
      <x:c r="F80" s="22" t="str">
        <x:v>O que deve fazer o detentor de um registro ou notificação que decide parar de comercializar um dispositivo médico no Brasil?</x:v>
      </x:c>
      <x:c r="G80" s="22" t="str">
        <x:v>O detentor deve peticionar o cancelamento do registro ou da notificação.</x:v>
      </x:c>
      <x:c r="H80" s="22" t="str">
        <x:v>What must the holder of a registration or notification do if they decide to stop commercializing a medical device in Brazil?</x:v>
      </x:c>
      <x:c r="I80" s="22" t="str">
        <x:v>The holder must petition for the cancellation of the registration or notification.</x:v>
      </x:c>
      <x:c r="J80" s="22" t="str">
        <x:v>RDC 751/2022, Art. 29</x:v>
      </x:c>
      <x:c r="K80" s="22" t="str">
        <x:v>Art. 29. O detentor de notificação ou registro de dispositivo médico que pretender não mais comercializá-lo no mercado brasileiro deve peticionar o seu cancelamento.</x:v>
      </x:c>
      <x:c r="L80" s="21" t="str"/>
      <x:c r="M80" s="21" t="str"/>
      <x:c r="N80" s="21" t="str"/>
      <x:c r="O80" s="21" t="str"/>
      <x:c r="P80" s="21" t="str"/>
      <x:c r="Q80" s="22" t="str"/>
      <x:c r="R80" s="22" t="str"/>
      <x:c r="S80" s="22" t="str"/>
    </x:row>
    <x:row r="81" ht="88.5" customHeight="1">
      <x:c r="A81" s="23" t="n">
        <x:v>80</x:v>
      </x:c>
      <x:c r="B81" s="23" t="str">
        <x:v>UNANS_10</x:v>
      </x:c>
      <x:c r="C81" s="23" t="str">
        <x:v>Unanswerable</x:v>
      </x:c>
      <x:c r="D81" s="23" t="str">
        <x:v>unanswerable_nonexistent_regulation</x:v>
      </x:c>
      <x:c r="E81" s="23" t="str">
        <x:v>No</x:v>
      </x:c>
      <x:c r="F81" s="22" t="str">
        <x:v>Quais são os requisitos da RDC 1234/2030 para ensaios clínicos?</x:v>
      </x:c>
      <x:c r="G81" s="22" t="str">
        <x:v>Os documentos recuperados nao fornecem informacao suficiente para responder.</x:v>
      </x:c>
      <x:c r="H81" s="22" t="str">
        <x:v>What are the requirements of RDC 1234/2030 for clinical trials?</x:v>
      </x:c>
      <x:c r="I81" s="22" t="str">
        <x:v>The retrieved documents do not provide enough information to answer.</x:v>
      </x:c>
      <x:c r="J81" s="22" t="str"/>
      <x:c r="K81" s="22" t="str"/>
      <x:c r="L81" s="21" t="str"/>
      <x:c r="M81" s="21" t="str"/>
      <x:c r="N81" s="21" t="str"/>
      <x:c r="O81" s="21" t="str"/>
      <x:c r="P81" s="21" t="str"/>
      <x:c r="Q81" s="22" t="str"/>
      <x:c r="R81" s="22" t="str"/>
      <x:c r="S81" s="22" t="str"/>
    </x:row>
    <x:row r="82" ht="88.5" customHeight="1">
      <x:c r="A82" s="23" t="n">
        <x:v>81</x:v>
      </x:c>
      <x:c r="B82" s="23" t="str">
        <x:v>DIRECT_12</x:v>
      </x:c>
      <x:c r="C82" s="23" t="str">
        <x:v>Direct</x:v>
      </x:c>
      <x:c r="D82" s="23" t="str">
        <x:v>direct_article</x:v>
      </x:c>
      <x:c r="E82" s="23" t="str">
        <x:v>Yes</x:v>
      </x:c>
      <x:c r="F82" s="22" t="str">
        <x:v>Qual procedimento deve ser seguido pelo patrocinador antes de implementar emendas substanciais a protocolos de ensaios clínicos?</x:v>
      </x:c>
      <x:c r="G82" s="22" t="str">
        <x:v>As emendas devem ser protocolizadas e o patrocinador deve aguardar a manifestação da Anvisa, respeitando os prazos estabelecidos.</x:v>
      </x:c>
      <x:c r="H82" s="22" t="str">
        <x:v>What procedure must the sponsor follow before implementing substantial amendments to clinical trial protocols?</x:v>
      </x:c>
      <x:c r="I82" s="22" t="str">
        <x:v>The amendments must be filed and the sponsor must await Anvisa's response, respecting the established deadlines.</x:v>
      </x:c>
      <x:c r="J82" s="22" t="str">
        <x:v>RDC 9/2015, Art. 47</x:v>
      </x:c>
      <x:c r="K82" s="22" t="str">
        <x:v>Art. 47. As emendas substanciais a pro tocolos de ensaios clínicos devem ser protocolizadas e aguardar manifestação da Anvisa antes de sua implementação, respeitando os prazos estabelecidos no</x:v>
      </x:c>
      <x:c r="L82" s="21" t="str"/>
      <x:c r="M82" s="21" t="str"/>
      <x:c r="N82" s="21" t="str"/>
      <x:c r="O82" s="21" t="str"/>
      <x:c r="P82" s="21" t="str"/>
      <x:c r="Q82" s="22" t="str"/>
      <x:c r="R82" s="22" t="str"/>
      <x:c r="S82" s="22" t="str"/>
    </x:row>
    <x:row r="83" ht="88.5" customHeight="1">
      <x:c r="A83" s="23" t="n">
        <x:v>82</x:v>
      </x:c>
      <x:c r="B83" s="23" t="str">
        <x:v>UNANS_15</x:v>
      </x:c>
      <x:c r="C83" s="23" t="str">
        <x:v>Unanswerable</x:v>
      </x:c>
      <x:c r="D83" s="23" t="str">
        <x:v>unanswerable_product_comparison</x:v>
      </x:c>
      <x:c r="E83" s="23" t="str">
        <x:v>No</x:v>
      </x:c>
      <x:c r="F83" s="22" t="str">
        <x:v>Qual marca de medicamento biológico é clinicamente superior?</x:v>
      </x:c>
      <x:c r="G83" s="22" t="str">
        <x:v>Os documentos recuperados nao fornecem informacao suficiente para responder.</x:v>
      </x:c>
      <x:c r="H83" s="22" t="str">
        <x:v>Which brand of biological medicine is clinically superior?</x:v>
      </x:c>
      <x:c r="I83" s="22" t="str">
        <x:v>The retrieved documents do not provide enough information to answer.</x:v>
      </x:c>
      <x:c r="J83" s="22" t="str"/>
      <x:c r="K83" s="22" t="str"/>
      <x:c r="L83" s="21" t="str"/>
      <x:c r="M83" s="21" t="str"/>
      <x:c r="N83" s="21" t="str"/>
      <x:c r="O83" s="21" t="str"/>
      <x:c r="P83" s="21" t="str"/>
      <x:c r="Q83" s="22" t="str"/>
      <x:c r="R83" s="22" t="str"/>
      <x:c r="S83" s="22" t="str"/>
    </x:row>
    <x:row r="84" ht="88.5" customHeight="1">
      <x:c r="A84" s="23" t="n">
        <x:v>83</x:v>
      </x:c>
      <x:c r="B84" s="23" t="str">
        <x:v>DIRECT_51</x:v>
      </x:c>
      <x:c r="C84" s="23" t="str">
        <x:v>Direct</x:v>
      </x:c>
      <x:c r="D84" s="23" t="str">
        <x:v>direct_article</x:v>
      </x:c>
      <x:c r="E84" s="23" t="str">
        <x:v>Yes</x:v>
      </x:c>
      <x:c r="F84" s="22" t="str">
        <x:v>Quais são as consequências jurídicas do descumprimento das disposições da Instrução Normativa?</x:v>
      </x:c>
      <x:c r="G84" s="22" t="str">
        <x:v>O descumprimento constitui infração sanitária nos termos da Lei nº 6.437/1977, sem prejuízo das responsabilidades civil, administrativa e penal cabíveis.</x:v>
      </x:c>
      <x:c r="H84" s="22" t="str">
        <x:v>What are the legal consequences of non-compliance with the provisions of the Normative Instruction?</x:v>
      </x:c>
      <x:c r="I84" s="22" t="str">
        <x:v>Non-compliance constitutes a sanitary infraction under Law No. 6,437/1977, without prejudice to applicable civil, administrative, and criminal liabilities.</x:v>
      </x:c>
      <x:c r="J84" s="22" t="str">
        <x:v>IN 338/2024, Art. 11</x:v>
      </x:c>
      <x:c r="K84" s="22" t="str">
        <x:v>Art. 11. O descumprimento das disposições contidas nesta Instrução Normativa constitui infração sanitária, nos termos da Lei n° 6.437, de 20 de agosto de 1977 , sem prejuízo das responsabilidades civil, administrativas e penal cabíveis.</x:v>
      </x:c>
      <x:c r="L84" s="21" t="str"/>
      <x:c r="M84" s="21" t="str"/>
      <x:c r="N84" s="21" t="str"/>
      <x:c r="O84" s="21" t="str"/>
      <x:c r="P84" s="21" t="str"/>
      <x:c r="Q84" s="22" t="str"/>
      <x:c r="R84" s="22" t="str"/>
      <x:c r="S84" s="22" t="str"/>
    </x:row>
    <x:row r="85" ht="88.5" customHeight="1">
      <x:c r="A85" s="23" t="n">
        <x:v>84</x:v>
      </x:c>
      <x:c r="B85" s="23" t="str">
        <x:v>DIRECT_14</x:v>
      </x:c>
      <x:c r="C85" s="23" t="str">
        <x:v>Direct</x:v>
      </x:c>
      <x:c r="D85" s="23" t="str">
        <x:v>direct_article</x:v>
      </x:c>
      <x:c r="E85" s="23" t="str">
        <x:v>Yes</x:v>
      </x:c>
      <x:c r="F85" s="22" t="str">
        <x:v>Quais testes sorológicos são obrigatoriamente exigidos para o controle de hemoderivados no registro?</x:v>
      </x:c>
      <x:c r="G85" s="22" t="str">
        <x:v>É obrigatória a realização de testes para: vírus da imunodeficiência humana (HIV 1 e HIV 2), vírus da hepatite C (HCV), vírus da hepatite B (HBV), antígenos de hepatite B (HBsAg) e sífilis.</x:v>
      </x:c>
      <x:c r="H85" s="22" t="str">
        <x:v>Which serological tests are mandatory for the control of blood derivatives during registration?</x:v>
      </x:c>
      <x:c r="I85" s="22" t="str">
        <x:v>It is mandatory to perform tests for: human immunodeficiency virus (HIV 1 and HIV 2), hepatitis C virus (HCV), hepatitis B virus (HBV), hepatitis B antigens (HBsAg), and syphilis.</x:v>
      </x:c>
      <x:c r="J85" s="22" t="str">
        <x:v>RDC 55/2010, Art. 32</x:v>
      </x:c>
      <x:c r="K85" s="22" t="str">
        <x:v>Art. 32. Especificamente para os hemoderivados, além da documentação descrita nas Seções I e II deste Capítulo, no ato do protocolo de pedido de registro, a empresa solicitante deverá apresentar as seguintes informações: I - declaração da origem do plasma, emitida pela autoridade sanitária competente do país de fabricação do hemoderivado; II - declaração da origem das pastas utilizadas na produção do hemoderivado; III - declaração da origem do plasma utilizado para a produção das pastas, emitida pela autoridade sanitária competente do país de fabricação das pastas; IV - lista dos centros de coleta de plasma autorizados pela autoridade sanitária competente do país de fabricação do hemoderivado; V - lista dos testes sorológicos realizados: a) em cada unidade de plasma ou de plasmaférese; b) em cada mini-pool de plasma, indicando a quantidade de unidades de plasma ou de plasmaférese que constitui o mini-pool; e c) no lote de fracionamento (pool), indicando o volume médio do lote de fracionamento; VI - controles sorológicos da bolsa de sangue ou plasma no banco de sangue, no pool de fracionamento e no produto terminado, sendo obrigatória a realização de testes para: a) vírus da imunodeficiência humana - HIV 1 e HIV 2; b) vírus da hepatite C - HCV; c) vírus da hepatite B - HBV; d) antígenos de hepatite B - HBsAg; e e) sífilis; VII - descrição dos testes para agentes infecciosos epidemiologicamente importantes no país de origem do plasma, relacionados com as doenças transmissíveis pelo sangue e seus derivados; VIII - descrição dos testes da reação em cadeia da polimerase (teste de amplificação do ácido nucléico) - PCR (NAT), realizados em cada unidade de plasma ou unidade de plasmaférese, em cada mini-pool de plasma, e no lote de fracionamento; IX - validação dos métodos sorológicos e de PCR (NAT) utilizados; X - relatório com a descrição dos procedimentos de remoção, redução ou eliminação e inativação virais utilizados e suas respectivas validações.</x:v>
      </x:c>
      <x:c r="L85" s="21" t="str"/>
      <x:c r="M85" s="21" t="str"/>
      <x:c r="N85" s="21" t="str"/>
      <x:c r="O85" s="21" t="str"/>
      <x:c r="P85" s="21" t="str"/>
      <x:c r="Q85" s="22" t="str"/>
      <x:c r="R85" s="22" t="str"/>
      <x:c r="S85" s="22" t="str"/>
    </x:row>
    <x:row r="86" ht="88.5" customHeight="1">
      <x:c r="A86" s="23" t="n">
        <x:v>85</x:v>
      </x:c>
      <x:c r="B86" s="23" t="str">
        <x:v>DIRECT_02</x:v>
      </x:c>
      <x:c r="C86" s="23" t="str">
        <x:v>Direct</x:v>
      </x:c>
      <x:c r="D86" s="23" t="str">
        <x:v>direct_article</x:v>
      </x:c>
      <x:c r="E86" s="23" t="str">
        <x:v>Yes</x:v>
      </x:c>
      <x:c r="F86" s="22" t="str">
        <x:v>Qual é o prazo e o conteúdo obrigatório da notificação à Anvisa em caso de suspensão temporária de um ensaio clínico por motivos de segurança?</x:v>
      </x:c>
      <x:c r="G86" s="22" t="str">
        <x:v>O patrocinador deve notificar a Anvisa em até 7 dias corridos, justificando os motivos e explicando com clareza as razões, a abrangência, a interrupção do tratamento e a suspensão do recrutamento.</x:v>
      </x:c>
      <x:c r="H86" s="22" t="str">
        <x:v>What is the deadline and mandatory content for notifying Anvisa in the event of a temporary clinical trial suspension for safety reasons?</x:v>
      </x:c>
      <x:c r="I86" s="22" t="str">
        <x:v>The sponsor must notify Anvisa within 7 calendar days, justifying the reasons and clearly explaining the grounds, scope, treatment interruption, and suspension of participant recruitment.</x:v>
      </x:c>
      <x:c r="J86" s="22" t="str">
        <x:v>RDC 9/2015, Art. 52</x:v>
      </x:c>
      <x:c r="K86" s="22" t="str">
        <x:v>Art. 52 . Nos casos de suspensão temporária do ensaio clí nico ou DDCM como medida imediata de segurança, o patrocinador deve notificar à Anvisa no prazo de 7 (sete) dias corridos a contar da data de suspensão, justificando os motivos. Parágrafo único. As razões, a abrangência, a interrupçã o do tratamento e a suspensão do recrutamento de participantes devem estar explicadas com clareza na notificação de suspensão temporária.</x:v>
      </x:c>
      <x:c r="L86" s="21" t="str"/>
      <x:c r="M86" s="21" t="str"/>
      <x:c r="N86" s="21" t="str"/>
      <x:c r="O86" s="21" t="str"/>
      <x:c r="P86" s="21" t="str"/>
      <x:c r="Q86" s="22" t="str"/>
      <x:c r="R86" s="22" t="str"/>
      <x:c r="S86" s="22" t="str"/>
    </x:row>
    <x:row r="87" ht="88.5" customHeight="1">
      <x:c r="A87" s="23" t="n">
        <x:v>86</x:v>
      </x:c>
      <x:c r="B87" s="23" t="str">
        <x:v>UNANS_18</x:v>
      </x:c>
      <x:c r="C87" s="23" t="str">
        <x:v>Unanswerable</x:v>
      </x:c>
      <x:c r="D87" s="23" t="str">
        <x:v>unanswerable_guaranteed_outcome</x:v>
      </x:c>
      <x:c r="E87" s="23" t="str">
        <x:v>No</x:v>
      </x:c>
      <x:c r="F87" s="22" t="str">
        <x:v>Seguir a RDC 406/2020 garante que nunca ocorrerá evento adverso?</x:v>
      </x:c>
      <x:c r="G87" s="22" t="str">
        <x:v>Os documentos recuperados nao fornecem informacao suficiente para responder.</x:v>
      </x:c>
      <x:c r="H87" s="22" t="str">
        <x:v>Does following RDC 406/2020 guarantee that no adverse event will ever occur?</x:v>
      </x:c>
      <x:c r="I87" s="22" t="str">
        <x:v>The retrieved documents do not provide enough information to answer.</x:v>
      </x:c>
      <x:c r="J87" s="22" t="str"/>
      <x:c r="K87" s="22" t="str"/>
      <x:c r="L87" s="21" t="str"/>
      <x:c r="M87" s="21" t="str"/>
      <x:c r="N87" s="21" t="str"/>
      <x:c r="O87" s="21" t="str"/>
      <x:c r="P87" s="21" t="str"/>
      <x:c r="Q87" s="22" t="str"/>
      <x:c r="R87" s="22" t="str"/>
      <x:c r="S87" s="22" t="str"/>
    </x:row>
    <x:row r="88" ht="88.5" customHeight="1">
      <x:c r="A88" s="23" t="n">
        <x:v>87</x:v>
      </x:c>
      <x:c r="B88" s="23" t="str">
        <x:v>DIRECT_41</x:v>
      </x:c>
      <x:c r="C88" s="23" t="str">
        <x:v>Direct</x:v>
      </x:c>
      <x:c r="D88" s="23" t="str">
        <x:v>direct_article</x:v>
      </x:c>
      <x:c r="E88" s="23" t="str">
        <x:v>Yes</x:v>
      </x:c>
      <x:c r="F88" s="22" t="str">
        <x:v>O que deve constar no documento de descrição do Sistema de Farmacovigilância de um Detentor de Registro de Medicamento?</x:v>
      </x:c>
      <x:c r="G88" s="22" t="str">
        <x:v>Deve conter informações detalhadas sobre estrutura, interfaces, processos de trabalho, responsabilidades, atividades de gerenciamento de risco, parcerias nacionais/internacionais e terceirizações, incluindo níveis e formas de relacionamento.</x:v>
      </x:c>
      <x:c r="H88" s="22" t="str">
        <x:v>What must be included in the Pharmacovigilance System description document of a Marketing Authorization Holder?</x:v>
      </x:c>
      <x:c r="I88" s="22" t="str">
        <x:v>It must contain detailed information on structure, interfaces, work processes, responsibilities, risk management activities, national/international partnerships, and outsourcing, including the levels and forms of relationships.</x:v>
      </x:c>
      <x:c r="J88" s="22" t="str">
        <x:v>RDC 406/2020, Art. 15</x:v>
      </x:c>
      <x:c r="K88" s="22" t="str">
        <x:v>Art. 15. Todo Detentor de Registro de Medicamento deve dispor de documento com descrição detalhada de seu Sistema de Farmacovigilância, contendo informações quanto à sua estrutura, interfaces, processos de trabalho, responsabilidades e atividades relacionadas ao gerenciamento de risco. § 1º O documento de que trata o caput deste artigo deve ficar sob posse do Detentor de Registro de Medicamento e ser encaminhado para as autoridades sanitárias, sempre que exigido. § 2º As parcerias nacionais e internacionais, bem como a terceirização de atividades de Farmacovigilância deverão constar da descrição do sistema, bem como os níveis e formas de relacionamento de cada parte integrante do Sistema de Farmacovigilância. § 3º Parcerias diferentes daquelas usuais envolvendo algum medicamento em especial deverão ser assinaladas no documento de que trata o caput deste artigo. Sub</x:v>
      </x:c>
      <x:c r="L88" s="21" t="str"/>
      <x:c r="M88" s="21" t="str"/>
      <x:c r="N88" s="21" t="str"/>
      <x:c r="O88" s="21" t="str"/>
      <x:c r="P88" s="21" t="str"/>
      <x:c r="Q88" s="22" t="str"/>
      <x:c r="R88" s="22" t="str"/>
      <x:c r="S88" s="22" t="str"/>
    </x:row>
    <x:row r="89" ht="88.5" customHeight="1">
      <x:c r="A89" s="23" t="n">
        <x:v>88</x:v>
      </x:c>
      <x:c r="B89" s="23" t="str">
        <x:v>DIRECT_32</x:v>
      </x:c>
      <x:c r="C89" s="23" t="str">
        <x:v>Direct</x:v>
      </x:c>
      <x:c r="D89" s="23" t="str">
        <x:v>direct_article</x:v>
      </x:c>
      <x:c r="E89" s="23" t="str">
        <x:v>Yes</x:v>
      </x:c>
      <x:c r="F89" s="22" t="str">
        <x:v>Quais tipos de alterações são classificadas como 'não reportáveis' conforme a RDC 751/2022?</x:v>
      </x:c>
      <x:c r="G89" s="22" t="str">
        <x:v>São alterações de menor relevância que não modificam o projeto do dispositivo, correções de bug em softwares, alterações não técnicas (imagens, formatações, símbolos, textos sem acréscimo de risco), atualizações de Autorização de Funcionamento de Empresa, e alterações de contato, assistência técnica e website.</x:v>
      </x:c>
      <x:c r="H89" s="22" t="str">
        <x:v>Which types of changes are classified as 'non-reportable' according to RDC 751/2022?</x:v>
      </x:c>
      <x:c r="I89" s="22" t="str">
        <x:v>These are changes of minor relevance that do not modify the medical device design, software bug fixes, non-technical changes (images, formatting, symbols, text without increased risk), updates to Company Operating Authorization information, and changes to contact details, technical assistance, and website.</x:v>
      </x:c>
      <x:c r="J89" s="22" t="str">
        <x:v>RDC 751/2022, Art. 16</x:v>
      </x:c>
      <x:c r="K89" s="22" t="str">
        <x:v>Art. 16. As alterações de informações apresentadas no processo de notificação ou registro de dispositivos médicos são classificadas em: I - alteração de aprovação requerida; II - alteração de implementação imediata; e III - alteração não reportável. § 1º O peticionamento das alterações constantes dos incisos I e II deste artigo deverá observar o disposto na Instrução Normativa - IN nº 74, de 16 de setembro de 2020 , publicada no DOU nº 180, de 18 de setembro de 2020, Seção 1, pag. 111, que detalha os assuntos de peticionamento aplicáveis. (Redação dada pela Resolução 777/2023 ) Redações Anteriores § 2º São classificadas como alterações não reportáveis quaisquer 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leiautes, símbolos e adequações de texto de documentos sem acréscimo de risco; atualizações de informações de Autorização de Funcionamento de Empresa; alterações de contato (v.g. telefones ou endereçamento postal), assistência técnica e website. § 3º As alterações relacionadas no §2º deverão ser controladas pelo sistema de qualidade do detentor da regularização e ser incorporadas em peticionamentos posteriores. § 4º O peticionamento de alteração para dispositivos médicos de classes de risco I e II será executado pelo regime de implementação imediata, exceto quando se tratar de alteração não reportável.</x:v>
      </x:c>
      <x:c r="L89" s="21" t="str"/>
      <x:c r="M89" s="21" t="str"/>
      <x:c r="N89" s="21" t="str"/>
      <x:c r="O89" s="21" t="str"/>
      <x:c r="P89" s="21" t="str"/>
      <x:c r="Q89" s="22" t="str"/>
      <x:c r="R89" s="22" t="str"/>
      <x:c r="S89" s="22" t="str"/>
    </x:row>
    <x:row r="90" ht="88.5" customHeight="1">
      <x:c r="A90" s="23" t="n">
        <x:v>89</x:v>
      </x:c>
      <x:c r="B90" s="23" t="str">
        <x:v>DIRECT_48</x:v>
      </x:c>
      <x:c r="C90" s="23" t="str">
        <x:v>Direct</x:v>
      </x:c>
      <x:c r="D90" s="23" t="str">
        <x:v>direct_article</x:v>
      </x:c>
      <x:c r="E90" s="23" t="str">
        <x:v>Yes</x:v>
      </x:c>
      <x:c r="F90" s="22" t="str">
        <x:v>Em quais situações o Detentor de Registro de Medicamento deve elaborar um Plano de Minimização de Risco?</x:v>
      </x:c>
      <x:c r="G90" s="22" t="str">
        <x:v>Deve ser elaborado quando houver Riscos Identificados importantes, Riscos Potenciais importantes, informações críticas que mereçam ações adicionais ou quando solicitado pela autoridade sanitária.</x:v>
      </x:c>
      <x:c r="H90" s="22" t="str">
        <x:v>In which situations must the Marketing Authorization Holder develop a Risk Minimization Plan?</x:v>
      </x:c>
      <x:c r="I90" s="22" t="str">
        <x:v>It must be developed when there are important Identified Risks, important Potential Risks, critical information requiring additional actions, or when requested by the health authority.</x:v>
      </x:c>
      <x:c r="J90" s="22" t="str">
        <x:v>RDC 406/2020, Art. 46</x:v>
      </x:c>
      <x:c r="K90" s="22" t="str">
        <x:v>Art. 46. Quando houver Riscos Identificados importantes, Riscos Potenciais importantes ou informações críticas que mereçam ações adicionais, com vistas à minimização dos riscos em questão, ou ainda, quando solicitado pela autoridade sanitária, deve ser elaborado Plano de Minimização de Risco, a ser peticionado à Anvisa como parte do Plano de Gerenciamento de Risco, no momento do registro, ou a qualquer tempo, nos casos em que o medicamento já tenha sido comercializado. § 1º O Detentor de Registro de Medicamento deve justificar o método proposto para a execução de seu Plano de Minimização de Risco e prever a avaliação da efetividade das ações propostas para minimizar os riscos do medicamento em questão. § 2º Situações em que o medicamento tenha um provável uso não estudado adequadamente no período pré-registro devem estar contempladas no Plano de Minimização de Risco.</x:v>
      </x:c>
      <x:c r="L90" s="21" t="str"/>
      <x:c r="M90" s="21" t="str"/>
      <x:c r="N90" s="21" t="str"/>
      <x:c r="O90" s="21" t="str"/>
      <x:c r="P90" s="21" t="str"/>
      <x:c r="Q90" s="22" t="str"/>
      <x:c r="R90" s="22" t="str"/>
      <x:c r="S90" s="22" t="str"/>
    </x:row>
    <x:row r="91" ht="88.5" customHeight="1">
      <x:c r="A91" s="23" t="n">
        <x:v>90</x:v>
      </x:c>
      <x:c r="B91" s="23" t="str">
        <x:v>DIRECT_56</x:v>
      </x:c>
      <x:c r="C91" s="23" t="str">
        <x:v>Direct</x:v>
      </x:c>
      <x:c r="D91" s="23" t="str">
        <x:v>direct_article</x:v>
      </x:c>
      <x:c r="E91" s="23" t="str">
        <x:v>Yes</x:v>
      </x:c>
      <x:c r="F91" s="22" t="str">
        <x:v>A decisão da Anvisa sobre petições submetidas via procedimento otimizado de análise está vinculada às decisões da AREE?</x:v>
      </x:c>
      <x:c r="G91" s="22" t="str">
        <x:v>Não. A decisão é de competência exclusiva da Anvisa e não está vinculada às decisões e às condições aprovadas pela AREE.</x:v>
      </x:c>
      <x:c r="H91" s="22" t="str">
        <x:v>Is Anvisa's decision on petitions submitted via the optimized analysis procedure bound by AREE's decisions?</x:v>
      </x:c>
      <x:c r="I91" s="22" t="str">
        <x:v>No. The decision is under the exclusive competence of Anvisa and is not linked to the decisions and conditions approved by the AREE.</x:v>
      </x:c>
      <x:c r="J91" s="22" t="str">
        <x:v>IN 338/2024, Art. 10</x:v>
      </x:c>
      <x:c r="K91" s="22" t="str">
        <x:v>Art. 10 A decisão sobre as petições submetidas pelo procedimento otimizado de análise com base em práticas de confiança regulatória (Reliance) é de competência exclusiva da Anvisa e não está vinculada às decisões e às condições aprovadas pela AREE.</x:v>
      </x:c>
      <x:c r="L91" s="21" t="str"/>
      <x:c r="M91" s="21" t="str"/>
      <x:c r="N91" s="21" t="str"/>
      <x:c r="O91" s="21" t="str"/>
      <x:c r="P91" s="21" t="str"/>
      <x:c r="Q91" s="22" t="str"/>
      <x:c r="R91" s="22" t="str"/>
      <x:c r="S91" s="22" t="str"/>
    </x:row>
    <x:row r="92" ht="88.5" customHeight="1">
      <x:c r="A92" s="23" t="n">
        <x:v>91</x:v>
      </x:c>
      <x:c r="B92" s="23" t="str">
        <x:v>COMPLEX_10</x:v>
      </x:c>
      <x:c r="C92" s="23" t="str">
        <x:v>Complex</x:v>
      </x:c>
      <x:c r="D92" s="23" t="str">
        <x:v>multi_article</x:v>
      </x:c>
      <x:c r="E92" s="23" t="str">
        <x:v>Yes</x:v>
      </x:c>
      <x:c r="F92" s="22" t="str">
        <x:v>Como a RDC 406/2020 define 'evento adverso grave' e 'evento clinicamente significativo'?</x:v>
      </x:c>
      <x:c r="G92" s="22" t="str">
        <x:v>Evento adverso grave é qualquer ocorrência médica indesejável, em qualquer dose, que resulte em morte, risco de morte, hospitalização ou prolongamento de hospitalização, incapacidade significativa ou persistente, anomalia congênita ou evento clinicamente significativo. Evento clinicamente significativo é qualquer evento que possa colocar em risco o paciente ou exigir intervenção para evitar morte, risco de morte, hospitalização, incapacidade ou anomalia congênita.</x:v>
      </x:c>
      <x:c r="H92" s="22" t="str">
        <x:v>How does RDC 406/2020 define 'serious adverse event' and 'clinically significant event'?</x:v>
      </x:c>
      <x:c r="I92" s="22" t="str">
        <x:v>A serious adverse event is any undesirable medical occurrence, at any dose, that results in death, life-threatening situation, hospitalization or prolongation of existing hospitalization, significant or persistent disability, congenital anomaly, or clinically significant event. A clinically significant event is any event that may put the patient at risk or require intervention to prevent death, life-threatening situation, hospitalization, disability, or congenital anomaly.</x:v>
      </x:c>
      <x:c r="J92" s="22" t="str">
        <x:v>RDC 406/2020, Art. 1; RDC 406/2020, Art. 2</x:v>
      </x:c>
      <x:c r="K92" s="22" t="str">
        <x:v>Art. 1º Esta Resolução dispõe sobre as Boas Práticas de Farmacovigilância para Detentores de Registro de Medicamento de uso humano. § 1º Para os fins do disposto no caput, ficam estabelecidos requisitos, responsabilidades e padrões de trabalho a serem observados por todos os Detentores de Registro de Medicamento de uso humano distribuídos ou comercializados no Brasil, com vistas ao cumprimento das Boas Práticas de Farmacovigilância. § 2º O termo Detentores de Registro de Medicamento, nesta Resolução, abrange quaisquer responsáveis pelos medicamentos de uso humano regulados pela Anvisa.
Art. 2° Para efeitos desta Resolução, são adotadas as seguintes definições: I - abuso de medicamentos: uso excessivo intencional de um ou mais medicamentos sem finalidade terapêutica e sem prescrição, que pode ser persistente ou esporádico, acompanhado de efeitos físicos ou psicológicos prejudiciais; II - ações corretivas: ações adotadas para eliminar a causa de não conformidade detectada ou de outra situação indesejável; III - ações preventivas: ações adotadas para eliminar a causa de potencial não conformidade ou de outra potencial situação indesejável; IV - autoinspeção em farmacovigilância: auditoria interna dedicada a avaliar o cumprimento das Boas Práticas de Farmacovigilância, por parte do Detentor de Registro de Medicamento, em todos os seus aspectos; V - Boas Práticas de Farmacovigilância: conjunto de requisitos técnicos destinados a garantir a autenticidade dos dados coletados para a avaliação, em cada momento, dos riscos associados a medicamentos; a confidencialidade da identidade das pessoas que apresentaram ou notificaram Reações Adversas; e o uso de critérios uniformes na avaliação das Notificações, bem como na geração de sinais; VI - confidencialidade: manutenção da privacidade dos pacientes, profissionais de saúde e instituições, incluindo identidades pessoais e todas as informações médicas pessoais; VII - eficácia do medicamento: capacidade de dado medicamento produzir os efeitos benéficos pretendidos, em indivíduo de determinada população, em condições ideais de uso; VIII - erro de medicação: qualquer evento evitável que possa causar ou levar a uso inapropriado de medicamentos, ou causar dano a um paciente, enquanto a medicação está sob o controle dos profissionais de saúde, pacientes ou consumidores, envolvendo o uso não intencional, com finalidade terapêutica, podendo ou não ter prescrição. Esse evento pode estar relacionado com a prática profissional, os produtos para a saúde, procedimentos e sistemas, incluindo prescrição, orientações verbais, rotulagem, embalagem e nomenclatura de produtos industrializados e manipulados, dispensação, distribuição, administração, educação, monitoramento e uso; IX - evento adverso: qualquer ocorrência médica indesejável em paciente no qual haja sido administrado medicamento, sem que necessariamente exista relação causal com o tratamento, podendo ser qualquer Sinal desfavorável e não intencional, sintoma ou doença temporalmente associado ao uso do medicamento; X - evento adverso grave/reação adversa grave: qualquer ocorrência médica indesejável, em qualquer dose, que resulte em morte, risco de morte, situações que requeiram hospitalização ou prolongamento de hospitalização já existente, incapacidade significativa ou persistente, anomalia congênita e evento clinicamente significativo; XI - evento clinicamente significativo: qualquer evento que possa colocar em risco o paciente ou que possa exigir intervenção, a fim de se evitar morte, risco de morte, situações que requeiram hospitalização ou prolongamento de hospitalização já existente, incapacidade significativa ou persistente, anomalia congênita; XII - evolução clínica: condição clínica do usuário de medicamento após manifestação do Evento Adverso, contemplando óbito, não recuperado, recuperado com sequela, em recuperação, recuperado e desconhecido; XIII - Farmacovigilância: ciência e atividades relativas à detecção, avaliação, compreensão e prevenção de Eventos Adversos ou quaisquer outros problemas relacionados a medicamentos; XIV - inefetividade terapêutica: ausência ou redução da resposta terapêutica esperada de medicamento, sob as condições de uso indicadas em bula; XV - informações críticas faltantes: lacunas críticas no conhecimento sobre um medicamento, relacionadas a questões específicas de segurança ou a determinadas populações que fazem uso do produto; XVI - inspeção em farmacovigilância: ação de fiscalização conduzida in loco, pelos integrantes do Sistema Nacional de Vigilância Sanitária (SNVS), para verificação do cumprimento das Boas Práticas de Farmacovigilância por parte do Detentor de Registro de Medicamento. Tal atividade consiste em análise documental, realização de entrevistas, visitas às instalações do Detentor de Registro de Medicamento, revisões em base de dados, entre outras atividades; XVII - interação medicamentosa: resposta farmacológica, toxicológica, clínica ou laboratorial causada pela combinação do medicamento com outros medicamentos. Também pode decorrer da interação do medicamento com alimentos, substâncias químicas ou doenças. Os resultados de exames laboratoriais podem ter sua confiabilidade afetada devido às interações com medicamentos. A interação medicamentosa pode resultar em aumento ou diminuição da efetividade terapêutica ou ainda no aparecimento de novos eventos adversos relacionados; XVIII - notificação: ato de informar a ocorrência de Evento Adverso de medicamento para os Detentores de Registro de Medicamento, autoridades sanitárias ou outras organizações; XIX - notificação de seguimento: notificação de acompanhamento de Evento Adverso previamente notificado, contendo dados adicionais, clínicos ou de exames complementares, a fim de melhor elucidar a relação de causalidade entre o evento descrito e o medicamento suspeito; XX - notificação espontânea: comunicação não solicitada, realizada por um profissional de saúde ou consumidor a uma empresa, autoridade reguladora ou outra organização que descreve uma ou mais reações adversas a um paciente que recebeu um ou mais medicamentos e que não deriva de um estudo ou de qualquer sistema organizado de coleta de dados. Também se incluem os questionamentos realizados pelos representantes de vendas aos profissionais de saúde; XXI - notificação solicitada: refere-se àquela derivada de sistemas organizados de coleta de dados, que incluem, entre outros, ensaios clínicos, registros, programas de pós-aprovação denominados de uso do paciente e outros programas de apoio ao paciente; XXII - Procedimento Operacional Padrão (POP): procedimento escrito e autorizado que fornece instruções para a realização de operações não necessariamente específicas, mas de natureza geral. Certos procedimentos podem ser utilizados para suplementar a documentação hierarquicamente superior; XXIII - reação adversa: qualquer resposta prejudicial ou indesejável, não intencional, a um medicamento, que ocorre nas doses usualmente empregadas no ser humano para profilaxia, diagnóstico, terapia da doença ou para a modificação de funções fisiológicas. Diferentemente do Evento Adverso, a Reação Adversa caracteriza-se pela suspeita de relação causal entre o medicamento e a resposta prejudicial ou indesejável. Para fins de notificação, se um evento for relatado espontaneamente, mesmo que a relação seja desconhecida ou não declarada, ele atende à definição de reação adversa; XXIV - reação adversa inesperada: Reação Adversa cuja natureza, severidade, especificidade ou evolução clínica não é consistente com as informações disponíveis na bula nacional do medicamento em questão, mesmo que tais reações adversas estejam descritas para a respectiva classe farmacológica; XXV - Relação Benefício-Risco: avaliação detalhada dos benefícios em relação aos riscos, podendo estar relacionada à segurança, qualidade e eficácia do medicamento, bem como seu uso racional; XXVI - risco identificado: ocorrência desfavorável para a qual há evidências adequadas de sua associação com dado medicamento; XXVII - risco potencial: ocorrência desfavorável em que há suspeita de associação do risco com dado medicamento de interesse. Tal associação, no entanto, ainda não foi confirmada; XXVIII - sinal: informação que surge de uma ou várias fontes (incluindo observações e experimentos), que sugere uma possível relação causal entre uma intervenção e um evento ou conjunto de eventos relacionados, seja adverso ou benéfico, sendo que tal relação é desconhecida ou foi documentada de forma incompleta anteriormente. Normalmente, é necessária a existência de mais de uma Notificação para que seja gerado um sinal, mas, dependendo da gravidade do evento e da qualidade da informação, pode-se gerar um sinal com uma única Notificação. Também pode ser incluída como sinal Reação Adversa conhecida, para a qual houve mudança do padrão de intensidade ou frequência. A identificação de sinal demanda uma explicação adicional, vigilância contínua ou aplicação de processo de investigação; XXIX - Sistema de Farmacovigilância: sistema adotado pelos Detentores de Registro de Medicamento, para o cumprimento de suas responsabilidades, atividades e ações legalmente estabelecidas, relativamente à Farmacovigilância, e concebido para monitorar a segurança de medicamentos registrados, bem como detectar qualquer modificação na Relação Benefício-Risco desses produtos. Como qualquer outro sistema, caracteriza-se por sua estrutura, suas atividades, ações e resultados; XXX - superdose: uso de medicamento em doses superiores à dose máxima recomendada, isto é, em dose excessiva; e XXXI - uso off label: compreende o uso intencional em situações divergentes da bula de medicamento registrado na Anvisa, com finalidade terapêutica e sob prescrição. Pode incluir diferenças na indicação, faixa etária/peso, dose, frequência, apresentação ou via de administração.</x:v>
      </x:c>
      <x:c r="L92" s="21" t="str"/>
      <x:c r="M92" s="21" t="str"/>
      <x:c r="N92" s="21" t="str"/>
      <x:c r="O92" s="21" t="str"/>
      <x:c r="P92" s="21" t="str"/>
      <x:c r="Q92" s="22" t="str"/>
      <x:c r="R92" s="22" t="str"/>
      <x:c r="S92" s="22" t="str"/>
    </x:row>
    <x:row r="93" ht="88.5" customHeight="1">
      <x:c r="A93" s="23" t="n">
        <x:v>92</x:v>
      </x:c>
      <x:c r="B93" s="23" t="str">
        <x:v>DIRECT_70</x:v>
      </x:c>
      <x:c r="C93" s="23" t="str">
        <x:v>Direct</x:v>
      </x:c>
      <x:c r="D93" s="23" t="str">
        <x:v>direct_article</x:v>
      </x:c>
      <x:c r="E93" s="23" t="str">
        <x:v>Yes</x:v>
      </x:c>
      <x:c r="F93" s="22" t="str">
        <x:v>Como deve proceder o patrocinador ao identificar a possibilidade de um evento ser uma SUSAR em relação ao cegamento do estudo?</x:v>
      </x:c>
      <x:c r="G93" s="22" t="str">
        <x:v>O patrocinador deve quebrar o cegamento apenas em relação à alocação do participante acometido pela reação adversa grave e inesperada. Se confirmado como SUSAR, a alocação deve ser informada à Anvisa, preservando-se, sempre que possível, o cegamento para os responsáveis pela análise, interpretação dos resultados e continuidade do ensaio.</x:v>
      </x:c>
      <x:c r="H93" s="22" t="str">
        <x:v>How must the sponsor proceed when identifying the possibility of an event being a SUSAR regarding the study blinding?</x:v>
      </x:c>
      <x:c r="I93" s="22" t="str">
        <x:v>The sponsor must break the blinding only in relation to the allocation of the participant affected by the serious and unexpected adverse reaction. If confirmed as a SUSAR, the allocation must be reported to Anvisa, while preserving, whenever possible, the blinding for those responsible for the analysis, interpretation of results, and continuation of the trial.</x:v>
      </x:c>
      <x:c r="J93" s="22" t="str">
        <x:v>RDC 945/2024, Art. 67</x:v>
      </x:c>
      <x:c r="K93" s="22" t="str">
        <x:v>Art. 67. Existindo a possibilidade de um evento ser uma SUSAR, o patrocinador deve quebrar o cegamento para notificação à Anvisa e a quebra deve ser apenas em relação à alocação do participante que foi acometido pela reação adversa grave e inesperada. §1º Se após a quebra do cegamento o evento for classificado como uma SUSAR, seguir o disposto no art. 64 e a alocação do participante no braço do ensaio clínico deve ser informada na notificação da SUSAR à Anvisa. §2º Sempre que possível, o cegamento deve ser preservado para os responsáveis pela análise e interpretação dos resultados do estudo e pelos responsáveis pela continuidade do ensaio clínico, como gerentes, monitores e investigadores do estudo.</x:v>
      </x:c>
      <x:c r="L93" s="21" t="str"/>
      <x:c r="M93" s="21" t="str"/>
      <x:c r="N93" s="21" t="str"/>
      <x:c r="O93" s="21" t="str"/>
      <x:c r="P93" s="21" t="str"/>
      <x:c r="Q93" s="22" t="str"/>
      <x:c r="R93" s="22" t="str"/>
      <x:c r="S93" s="22" t="str"/>
    </x:row>
    <x:row r="94" ht="88.5" customHeight="1">
      <x:c r="A94" s="23" t="n">
        <x:v>93</x:v>
      </x:c>
      <x:c r="B94" s="23" t="str">
        <x:v>DIRECT_40</x:v>
      </x:c>
      <x:c r="C94" s="23" t="str">
        <x:v>Direct</x:v>
      </x:c>
      <x:c r="D94" s="23" t="str">
        <x:v>direct_article</x:v>
      </x:c>
      <x:c r="E94" s="23" t="str">
        <x:v>Yes</x:v>
      </x:c>
      <x:c r="F94" s="22" t="str">
        <x:v>Quais são as condições impostas pela RDC 406/2020 para a terceirização de atividades de Farmacovigilância?</x:v>
      </x:c>
      <x:c r="G94" s="22" t="str">
        <x:v>O RFV e seu substituto não podem ser terceirizados; a responsabilidade legal permanece com o Detentor de Registro; deve haver contrato claro sem subcontratação; deve-se evitar duplicidade de notificações; e o contrato deve prever inspeções do SNVS nas instalações do terceiro.</x:v>
      </x:c>
      <x:c r="H94" s="22" t="str">
        <x:v>What are the conditions imposed by RDC 406/2020 for the outsourcing of Pharmacovigilance activities?</x:v>
      </x:c>
      <x:c r="I94" s="22" t="str">
        <x:v>The RFV and their substitute cannot be outsourced; legal responsibility remains with the Marketing Authorization Holder; there must be a clear contract without subcontracting; duplication of notifications must be avoided; and the contract must allow for SNVS inspections at the third party's facilities.</x:v>
      </x:c>
      <x:c r="J94" s="22" t="str">
        <x:v>RDC 406/2020, Art. 10</x:v>
      </x:c>
      <x:c r="K94" s="22" t="str">
        <x:v>Art. 10. Os Detentores de Registro de Medicamento podem transferir para terceiros a execução de quaisquer das atividades de Farmacovigilância de que trata esta Resolução. § 1º O RFV e seu substituto não poderão ser terceirizados. § 2º Nos casos de terceirização de atividades de Farmacovigilância, permanece com os Detentores de Registro de Medicamento a responsabilidade pelas obrigações legais e sanitárias relativas ao produto. § 3º Nos casos de terceirização de atividades de Farmacovigilância, deve existir documentação contratual clara e descritiva definindo os envolvidos em cada atividade de Farmacovigilância, sendo vedada a subcontratação. § 4º A execução das atividades de Farmacovigilância entre empresas do mesmo grupo, para efeitos desta Resolução, não será considerada terceirização, sendo necessária a manutenção de 1 (um) RFV e seu substituto por cada empresa do grupo. § 5° A relação entre empresas do mesmo grupo de que trata o § 4º deste artigo deverá constar em documentos ou procedimentos relacionados à Farmacovigilância das empresas envolvidas. § 6° Nos casos de terceirização de atividades de Farmacovigilância, deve-se evitar a duplicidade de submissões de Notificação de casos individuais. § 7º O contrato de terceirização de que trata este artigo deve mencionar a possibilidade de inspeções em Farmacovigilância, do SNVS, nas instalações de terceiros contratados, a critério das autoridades sanitárias.</x:v>
      </x:c>
      <x:c r="L94" s="21" t="str"/>
      <x:c r="M94" s="21" t="str"/>
      <x:c r="N94" s="21" t="str"/>
      <x:c r="O94" s="21" t="str"/>
      <x:c r="P94" s="21" t="str"/>
      <x:c r="Q94" s="22" t="str"/>
      <x:c r="R94" s="22" t="str"/>
      <x:c r="S94" s="22" t="str"/>
    </x:row>
    <x:row r="95" ht="88.5" customHeight="1">
      <x:c r="A95" s="23" t="n">
        <x:v>94</x:v>
      </x:c>
      <x:c r="B95" s="23" t="str">
        <x:v>COMPLEX_06</x:v>
      </x:c>
      <x:c r="C95" s="23" t="str">
        <x:v>Complex</x:v>
      </x:c>
      <x:c r="D95" s="23" t="str">
        <x:v>exception</x:v>
      </x:c>
      <x:c r="E95" s="23" t="str">
        <x:v>Yes</x:v>
      </x:c>
      <x:c r="F95" s="22" t="str">
        <x:v>Quais são as condições para a dispensa ou otimização da análise técnica de documentos em ensaios clínicos conforme a RDC 945/2024?</x:v>
      </x:c>
      <x:c r="G95" s="22" t="str">
        <x:v>A dispensa ocorre conforme o risco e complexidade do ensaio, definidos em ato normativo complementar. A otimização da análise de documentos do DPI ou IMPD é permitida quando o placebo for idêntico ao medicamento registrado (exceto IFA) e/ou o comparador ativo for idêntico ao medicamento registrado.</x:v>
      </x:c>
      <x:c r="H95" s="22" t="str">
        <x:v>What are the conditions for the waiver or optimization of technical document analysis in clinical trials according to RDC 945/2024?</x:v>
      </x:c>
      <x:c r="I95" s="22" t="str">
        <x:v>Waiver occurs based on trial risk and complexity, defined in a complementary normative act. Optimization of DPI or IMPD document analysis is permitted when the placebo is identical to the registered drug (except for the API) and/or the active comparator is identical to the registered drug.</x:v>
      </x:c>
      <x:c r="J95" s="22" t="str">
        <x:v>RDC 945/2024, Art. 51</x:v>
      </x:c>
      <x:c r="K95" s="22" t="str">
        <x:v>Art. 51. Os documentos exigidos para a instrução de cada tipo de petição ou processo, nos termos desta resolução, poderão ser parcialmente ou integralmente dispensados da análise técnica, pelo procedimento otimizado de análise, de acordo com o risco e complexidade do ensaio clínico. § 1° A Anvisa editará ato normativo complementar para estabelecer os critérios de risco e complexidade de ensaio clínico e os casos em que a análise poderá ser dispensada. § 2° Nos casos em que o placebo, quando utilizado, for idêntico ao medicamento experimental registrado, se diferenciando deste somente pela ausência do IFA, e/ou o comparador ativo for idêntico ao medicamento registrado, a análise dos documentos presentes no DPI ou IMPD também poderá ser otimizada.</x:v>
      </x:c>
      <x:c r="L95" s="21" t="str"/>
      <x:c r="M95" s="21" t="str"/>
      <x:c r="N95" s="21" t="str"/>
      <x:c r="O95" s="21" t="str"/>
      <x:c r="P95" s="21" t="str"/>
      <x:c r="Q95" s="22" t="str"/>
      <x:c r="R95" s="22" t="str"/>
      <x:c r="S95" s="22" t="str"/>
    </x:row>
    <x:row r="96" ht="88.5" customHeight="1">
      <x:c r="A96" s="23" t="n">
        <x:v>95</x:v>
      </x:c>
      <x:c r="B96" s="23" t="str">
        <x:v>UNANS_20</x:v>
      </x:c>
      <x:c r="C96" s="23" t="str">
        <x:v>Unanswerable</x:v>
      </x:c>
      <x:c r="D96" s="23" t="str">
        <x:v>unanswerable_post_corpus_update</x:v>
      </x:c>
      <x:c r="E96" s="23" t="str">
        <x:v>No</x:v>
      </x:c>
      <x:c r="F96" s="22" t="str">
        <x:v>Que alteração regulatória entrou em vigor depois dos documentos deste corpus?</x:v>
      </x:c>
      <x:c r="G96" s="22" t="str">
        <x:v>Os documentos recuperados nao fornecem informacao suficiente para responder.</x:v>
      </x:c>
      <x:c r="H96" s="22" t="str">
        <x:v>Which regulatory amendment took effect after the documents in this corpus?</x:v>
      </x:c>
      <x:c r="I96" s="22" t="str">
        <x:v>The retrieved documents do not provide enough information to answer.</x:v>
      </x:c>
      <x:c r="J96" s="22" t="str"/>
      <x:c r="K96" s="22" t="str"/>
      <x:c r="L96" s="21" t="str"/>
      <x:c r="M96" s="21" t="str"/>
      <x:c r="N96" s="21" t="str"/>
      <x:c r="O96" s="21" t="str"/>
      <x:c r="P96" s="21" t="str"/>
      <x:c r="Q96" s="22" t="str"/>
      <x:c r="R96" s="22" t="str"/>
      <x:c r="S96" s="22" t="str"/>
    </x:row>
    <x:row r="97" ht="88.5" customHeight="1">
      <x:c r="A97" s="23" t="n">
        <x:v>96</x:v>
      </x:c>
      <x:c r="B97" s="23" t="str">
        <x:v>DIRECT_55</x:v>
      </x:c>
      <x:c r="C97" s="23" t="str">
        <x:v>Direct</x:v>
      </x:c>
      <x:c r="D97" s="23" t="str">
        <x:v>direct_article</x:v>
      </x:c>
      <x:c r="E97" s="23" t="str">
        <x:v>Yes</x:v>
      </x:c>
      <x:c r="F97" s="22" t="str">
        <x:v>Quais são os fundamentos utilizados pela Anvisa para aplicar o procedimento otimizado de análise e como o patrocinador identifica as situações elegíveis?</x:v>
      </x:c>
      <x:c r="G97" s="22" t="str">
        <x:v>O procedimento é aplicado com base em práticas de confiança regulatória (Reliance) e na avaliação de risco apoiada pela experiência de uso do Medicamento Experimental. A Anvisa disponibiliza um formulário específico de caracterização da petição para o preenchimento pelo patrocinador.</x:v>
      </x:c>
      <x:c r="H97" s="22" t="str">
        <x:v>What are the grounds used by Anvisa to apply the optimized analysis procedure and how does the sponsor identify eligible situations?</x:v>
      </x:c>
      <x:c r="I97" s="22" t="str">
        <x:v>The procedure is applied based on regulatory reliance practices and risk assessment supported by the usage experience of the Investigational Medicinal Product. Anvisa provides a specific petition characterization form for the sponsor to complete.</x:v>
      </x:c>
      <x:c r="J97" s="22" t="str">
        <x:v>IN 338/2024, Art. 4</x:v>
      </x:c>
      <x:c r="K97" s="22" t="str">
        <x:v>Art. 4º O procedimento otimizado de análise pode ser aplicado com base em práticas de confiança regulatória (Reliance) e com base na avaliação de risco apoiada pela experiência de uso do Medicamento Experimental. Parágrafo único. Para a adequada identificação das situações em que poderá ser aplicado o procedimento otimizado de análise, a Anvisa disponibilizará formulário específico de caracterização da petição para preenchimento pelo patrocinador.</x:v>
      </x:c>
      <x:c r="L97" s="21" t="str"/>
      <x:c r="M97" s="21" t="str"/>
      <x:c r="N97" s="21" t="str"/>
      <x:c r="O97" s="21" t="str"/>
      <x:c r="P97" s="21" t="str"/>
      <x:c r="Q97" s="22" t="str"/>
      <x:c r="R97" s="22" t="str"/>
      <x:c r="S97" s="22" t="str"/>
    </x:row>
    <x:row r="98" ht="88.5" customHeight="1">
      <x:c r="A98" s="23" t="n">
        <x:v>97</x:v>
      </x:c>
      <x:c r="B98" s="23" t="str">
        <x:v>UNANS_02</x:v>
      </x:c>
      <x:c r="C98" s="23" t="str">
        <x:v>Unanswerable</x:v>
      </x:c>
      <x:c r="D98" s="23" t="str">
        <x:v>unanswerable_medical_advice</x:v>
      </x:c>
      <x:c r="E98" s="23" t="str">
        <x:v>No</x:v>
      </x:c>
      <x:c r="F98" s="22" t="str">
        <x:v>Qual tratamento devo escolher para uma doença autoimune?</x:v>
      </x:c>
      <x:c r="G98" s="22" t="str">
        <x:v>Os documentos recuperados nao fornecem informacao suficiente para responder.</x:v>
      </x:c>
      <x:c r="H98" s="22" t="str">
        <x:v>Which treatment should I choose for an autoimmune disease?</x:v>
      </x:c>
      <x:c r="I98" s="22" t="str">
        <x:v>The retrieved documents do not provide enough information to answer.</x:v>
      </x:c>
      <x:c r="J98" s="22" t="str"/>
      <x:c r="K98" s="22" t="str"/>
      <x:c r="L98" s="21" t="str"/>
      <x:c r="M98" s="21" t="str"/>
      <x:c r="N98" s="21" t="str"/>
      <x:c r="O98" s="21" t="str"/>
      <x:c r="P98" s="21" t="str"/>
      <x:c r="Q98" s="22" t="str"/>
      <x:c r="R98" s="22" t="str"/>
      <x:c r="S98" s="22" t="str"/>
    </x:row>
    <x:row r="99" ht="88.5" customHeight="1">
      <x:c r="A99" s="23" t="n">
        <x:v>98</x:v>
      </x:c>
      <x:c r="B99" s="23" t="str">
        <x:v>UNANS_01</x:v>
      </x:c>
      <x:c r="C99" s="23" t="str">
        <x:v>Unanswerable</x:v>
      </x:c>
      <x:c r="D99" s="23" t="str">
        <x:v>unanswerable_market_price</x:v>
      </x:c>
      <x:c r="E99" s="23" t="str">
        <x:v>No</x:v>
      </x:c>
      <x:c r="F99" s="22" t="str">
        <x:v>Qual é o preço atual de mercado de um medicamento específico no Brasil?</x:v>
      </x:c>
      <x:c r="G99" s="22" t="str">
        <x:v>Os documentos recuperados nao fornecem informacao suficiente para responder.</x:v>
      </x:c>
      <x:c r="H99" s="22" t="str">
        <x:v>What is the current market price of a specific medicine in Brazil?</x:v>
      </x:c>
      <x:c r="I99" s="22" t="str">
        <x:v>The retrieved documents do not provide enough information to answer.</x:v>
      </x:c>
      <x:c r="J99" s="22" t="str"/>
      <x:c r="K99" s="22" t="str"/>
      <x:c r="L99" s="21" t="str"/>
      <x:c r="M99" s="21" t="str"/>
      <x:c r="N99" s="21" t="str"/>
      <x:c r="O99" s="21" t="str"/>
      <x:c r="P99" s="21" t="str"/>
      <x:c r="Q99" s="22" t="str"/>
      <x:c r="R99" s="22" t="str"/>
      <x:c r="S99" s="22" t="str"/>
    </x:row>
    <x:row r="100" ht="88.5" customHeight="1">
      <x:c r="A100" s="23" t="n">
        <x:v>99</x:v>
      </x:c>
      <x:c r="B100" s="23" t="str">
        <x:v>DIRECT_67</x:v>
      </x:c>
      <x:c r="C100" s="23" t="str">
        <x:v>Direct</x:v>
      </x:c>
      <x:c r="D100" s="23" t="str">
        <x:v>direct_article</x:v>
      </x:c>
      <x:c r="E100" s="23" t="str">
        <x:v>Yes</x:v>
      </x:c>
      <x:c r="F100" s="22" t="str">
        <x:v>Em quais condições um investigador-patrocinador pode utilizar informações de um DDCM já aprovado pela Anvisa sem precisar ressubmeter toda a documentação?</x:v>
      </x:c>
      <x:c r="G100" s="22" t="str">
        <x:v>O investigador-patrocinador pode utilizar as informações já enviadas pelo detentor do DDCM inicial caso este o autorize. Caso não haja autorização, deve submeter toda a informação por meio de literatura atualizada e indexada que dê suporte ao racional de desenvolvimento proposto.</x:v>
      </x:c>
      <x:c r="H100" s="22" t="str">
        <x:v>Under what conditions may a sponsor-investigator use information from a DDCM already approved by Anvisa without needing to resubmit all documentation?</x:v>
      </x:c>
      <x:c r="I100" s="22" t="str">
        <x:v>The sponsor-investigator may use the information already submitted by the initial DDCM holder if authorized by them. If no authorization is provided, the sponsor-investigator must submit all information through updated and indexed literature that supports the proposed development rationale.</x:v>
      </x:c>
      <x:c r="J100" s="22" t="str">
        <x:v>RDC 945/2024, Art. 24</x:v>
      </x:c>
      <x:c r="K100" s="22" t="str">
        <x:v>Art. 24. O patrocinador deve submeter um DDCM à Anvisa somente no caso em que pretenda realizar ensaios clínicos com medicamentos em território nacional. § 1º O DDCM pode ser submetido pelo patrocinador, investigador-patrocinador ou ORPC. § 2º O responsável pelo DDCM perante a Anvisa deve ser o mesmo para todas as submissões de petições subsequentes relacionadas a este. § 3º As submissões por ORPC somente poderão ser feitas quando o patrocinador não possuir matriz ou filial no Brasil. § 4° A submissão do DDCM de um investigador-patrocinador deve ser feita por meio do patrocinador primário; e § 5° Nos casos em que um investigador-patrocinador desejar realizar um ensaio clínico com um medicamento que já possui um DDCM aprovado pela Anvisa, este poderá utilizar as informações já enviadas pelo detentor do DDCM inicial, caso este o autorize, sem a necessidade de ressubmissão de toda a documentação. Quando não for apresentada uma autorização do detentor inicial, o investigador patrocinador deverá submeter à Anvisa toda a informação por meio de literatura atualizada e indexada que dê suporte ao racional de desenvolvimento proposto.</x:v>
      </x:c>
      <x:c r="L100" s="21" t="str"/>
      <x:c r="M100" s="21" t="str"/>
      <x:c r="N100" s="21" t="str"/>
      <x:c r="O100" s="21" t="str"/>
      <x:c r="P100" s="21" t="str"/>
      <x:c r="Q100" s="22" t="str"/>
      <x:c r="R100" s="22" t="str"/>
      <x:c r="S100" s="22" t="str"/>
    </x:row>
    <x:row r="101" ht="88.5" customHeight="1">
      <x:c r="A101" s="23" t="n">
        <x:v>100</x:v>
      </x:c>
      <x:c r="B101" s="23" t="str">
        <x:v>UNANS_09</x:v>
      </x:c>
      <x:c r="C101" s="23" t="str">
        <x:v>Unanswerable</x:v>
      </x:c>
      <x:c r="D101" s="23" t="str">
        <x:v>unanswerable_nonexistent_article</x:v>
      </x:c>
      <x:c r="E101" s="23" t="str">
        <x:v>No</x:v>
      </x:c>
      <x:c r="F101" s="22" t="str">
        <x:v>O que determina o Art. 999 da RDC 945/2024?</x:v>
      </x:c>
      <x:c r="G101" s="22" t="str">
        <x:v>Os documentos recuperados nao fornecem informacao suficiente para responder.</x:v>
      </x:c>
      <x:c r="H101" s="22" t="str">
        <x:v>What does Article 999 of RDC 945/2024 establish?</x:v>
      </x:c>
      <x:c r="I101" s="22" t="str">
        <x:v>The retrieved documents do not provide enough information to answer.</x:v>
      </x:c>
      <x:c r="J101" s="22" t="str"/>
      <x:c r="K101" s="22" t="str"/>
      <x:c r="L101" s="21" t="str"/>
      <x:c r="M101" s="21" t="str"/>
      <x:c r="N101" s="21" t="str"/>
      <x:c r="O101" s="21" t="str"/>
      <x:c r="P101" s="21" t="str"/>
      <x:c r="Q101" s="22" t="str"/>
      <x:c r="R101" s="22" t="str"/>
      <x:c r="S101" s="22" t="str"/>
    </x:row>
  </x:sheetData>
  <x:conditionalFormatting sqref="P2:P101">
    <x:cfRule type="containsText" dxfId="6" priority="1" operator="containsText" text="Keep"/>
    <x:cfRule type="containsText" dxfId="7" priority="2" operator="containsText" text="Revise"/>
    <x:cfRule type="containsText" dxfId="8" priority="3" operator="containsText" text="Drop"/>
  </x:conditionalFormatting>
  <x:dataValidations count="3">
    <x:dataValidation type="list" sqref="L2:O101">
      <x:formula1>"0,1"</x:formula1>
    </x:dataValidation>
    <x:dataValidation type="list" sqref="P2:P101">
      <x:formula1>"Keep,Revise,Drop"</x:formula1>
    </x:dataValidation>
    <x:dataValidation type="list" sqref="R2:R101">
      <x:formula1>"Keep,Revise,Drop"</x:formula1>
    </x:dataValidation>
  </x:dataValidations>
  <x:pageMargins left="0.7" right="0.7" top="0.75" bottom="0.75" header="0.3" footer="0.3"/>
  <x:tableParts count="1">
    <x:tablePart xmlns:r="http://schemas.openxmlformats.org/officeDocument/2006/relationships" r:id="R4e5f13b2e563433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6.110000610351562" hidden="0" customWidth="1"/>
    <x:col min="3" max="3" width="11.109999656677246" hidden="0" customWidth="1"/>
    <x:col min="4" max="4" width="20" hidden="0" customWidth="1"/>
    <x:col min="5" max="5" width="10" hidden="0" customWidth="1"/>
    <x:col min="6" max="6" width="26.670000076293945" hidden="0" customWidth="1"/>
  </x:cols>
  <x:sheetData>
    <x:row r="1">
      <x:c r="A1" s="18" t="str">
        <x:v>Pair ID</x:v>
      </x:c>
      <x:c r="B1" s="18" t="str">
        <x:v>Split</x:v>
      </x:c>
      <x:c r="C1" s="18" t="str">
        <x:v>Stratum</x:v>
      </x:c>
      <x:c r="D1" s="18" t="str">
        <x:v>Category</x:v>
      </x:c>
      <x:c r="E1" s="18" t="str">
        <x:v>Answerable</x:v>
      </x:c>
      <x:c r="F1" s="18" t="str">
        <x:v>Gold Citations</x:v>
      </x:c>
    </x:row>
    <x:row r="2" ht="24" customHeight="1">
      <x:c r="A2" s="15" t="str">
        <x:v>COMPLEX_01</x:v>
      </x:c>
      <x:c r="B2" s="15" t="str">
        <x:v>held_out_test_75</x:v>
      </x:c>
      <x:c r="C2" s="15" t="str">
        <x:v>Complex</x:v>
      </x:c>
      <x:c r="D2" s="15" t="str">
        <x:v>exception</x:v>
      </x:c>
      <x:c r="E2" s="15" t="str">
        <x:v>Yes</x:v>
      </x:c>
      <x:c r="F2" s="15" t="str">
        <x:v>RDC 9/2015, Art. 50</x:v>
      </x:c>
    </x:row>
    <x:row r="3" ht="24" customHeight="1">
      <x:c r="A3" s="15" t="str">
        <x:v>COMPLEX_02</x:v>
      </x:c>
      <x:c r="B3" s="15" t="str">
        <x:v>held_out_test_75</x:v>
      </x:c>
      <x:c r="C3" s="15" t="str">
        <x:v>Complex</x:v>
      </x:c>
      <x:c r="D3" s="15" t="str">
        <x:v>exception</x:v>
      </x:c>
      <x:c r="E3" s="15" t="str">
        <x:v>Yes</x:v>
      </x:c>
      <x:c r="F3" s="15" t="str">
        <x:v>RDC 55/2010, Art. 31</x:v>
      </x:c>
    </x:row>
    <x:row r="4" ht="24" customHeight="1">
      <x:c r="A4" s="15" t="str">
        <x:v>COMPLEX_03</x:v>
      </x:c>
      <x:c r="B4" s="15" t="str">
        <x:v>calibration_20</x:v>
      </x:c>
      <x:c r="C4" s="15" t="str">
        <x:v>Complex</x:v>
      </x:c>
      <x:c r="D4" s="15" t="str">
        <x:v>exception</x:v>
      </x:c>
      <x:c r="E4" s="15" t="str">
        <x:v>Yes</x:v>
      </x:c>
      <x:c r="F4" s="15" t="str">
        <x:v>RDC 751/2022, Art. 4</x:v>
      </x:c>
    </x:row>
    <x:row r="5" ht="24" customHeight="1">
      <x:c r="A5" s="15" t="str">
        <x:v>COMPLEX_04</x:v>
      </x:c>
      <x:c r="B5" s="15" t="str">
        <x:v>held_out_test_75</x:v>
      </x:c>
      <x:c r="C5" s="15" t="str">
        <x:v>Complex</x:v>
      </x:c>
      <x:c r="D5" s="15" t="str">
        <x:v>exception</x:v>
      </x:c>
      <x:c r="E5" s="15" t="str">
        <x:v>Yes</x:v>
      </x:c>
      <x:c r="F5" s="15" t="str">
        <x:v>RDC 406/2020, Art. 46</x:v>
      </x:c>
    </x:row>
    <x:row r="6" ht="24" customHeight="1">
      <x:c r="A6" s="15" t="str">
        <x:v>COMPLEX_05</x:v>
      </x:c>
      <x:c r="B6" s="15" t="str">
        <x:v>held_out_test_75</x:v>
      </x:c>
      <x:c r="C6" s="15" t="str">
        <x:v>Complex</x:v>
      </x:c>
      <x:c r="D6" s="15" t="str">
        <x:v>exception</x:v>
      </x:c>
      <x:c r="E6" s="15" t="str">
        <x:v>Yes</x:v>
      </x:c>
      <x:c r="F6" s="15" t="str">
        <x:v>IN 338/2024, Art. 7</x:v>
      </x:c>
    </x:row>
    <x:row r="7" ht="24" customHeight="1">
      <x:c r="A7" s="15" t="str">
        <x:v>COMPLEX_06</x:v>
      </x:c>
      <x:c r="B7" s="15" t="str">
        <x:v>held_out_test_75</x:v>
      </x:c>
      <x:c r="C7" s="15" t="str">
        <x:v>Complex</x:v>
      </x:c>
      <x:c r="D7" s="15" t="str">
        <x:v>exception</x:v>
      </x:c>
      <x:c r="E7" s="15" t="str">
        <x:v>Yes</x:v>
      </x:c>
      <x:c r="F7" s="15" t="str">
        <x:v>RDC 945/2024, Art. 51</x:v>
      </x:c>
    </x:row>
    <x:row r="8" ht="24" customHeight="1">
      <x:c r="A8" s="15" t="str">
        <x:v>COMPLEX_07</x:v>
      </x:c>
      <x:c r="B8" s="15" t="str">
        <x:v>dev_remaining_5</x:v>
      </x:c>
      <x:c r="C8" s="15" t="str">
        <x:v>Complex</x:v>
      </x:c>
      <x:c r="D8" s="15" t="str">
        <x:v>multi_article</x:v>
      </x:c>
      <x:c r="E8" s="15" t="str">
        <x:v>Yes</x:v>
      </x:c>
      <x:c r="F8" s="15" t="str">
        <x:v>RDC 9/2015, Art. 51; RDC 9/2015, Art. 52</x:v>
      </x:c>
    </x:row>
    <x:row r="9" ht="24" customHeight="1">
      <x:c r="A9" s="15" t="str">
        <x:v>COMPLEX_08</x:v>
      </x:c>
      <x:c r="B9" s="15" t="str">
        <x:v>calibration_20</x:v>
      </x:c>
      <x:c r="C9" s="15" t="str">
        <x:v>Complex</x:v>
      </x:c>
      <x:c r="D9" s="15" t="str">
        <x:v>multi_article</x:v>
      </x:c>
      <x:c r="E9" s="15" t="str">
        <x:v>Yes</x:v>
      </x:c>
      <x:c r="F9" s="15" t="str">
        <x:v>RDC 55/2010, Art. 29; RDC 55/2010, Art. 30</x:v>
      </x:c>
    </x:row>
    <x:row r="10" ht="24" customHeight="1">
      <x:c r="A10" s="15" t="str">
        <x:v>COMPLEX_09</x:v>
      </x:c>
      <x:c r="B10" s="15" t="str">
        <x:v>held_out_test_75</x:v>
      </x:c>
      <x:c r="C10" s="15" t="str">
        <x:v>Complex</x:v>
      </x:c>
      <x:c r="D10" s="15" t="str">
        <x:v>multi_article</x:v>
      </x:c>
      <x:c r="E10" s="15" t="str">
        <x:v>Yes</x:v>
      </x:c>
      <x:c r="F10" s="15" t="str">
        <x:v>RDC 751/2022, Art. 1; RDC 751/2022, Art. 2</x:v>
      </x:c>
    </x:row>
    <x:row r="11" ht="24" customHeight="1">
      <x:c r="A11" s="15" t="str">
        <x:v>COMPLEX_10</x:v>
      </x:c>
      <x:c r="B11" s="15" t="str">
        <x:v>held_out_test_75</x:v>
      </x:c>
      <x:c r="C11" s="15" t="str">
        <x:v>Complex</x:v>
      </x:c>
      <x:c r="D11" s="15" t="str">
        <x:v>multi_article</x:v>
      </x:c>
      <x:c r="E11" s="15" t="str">
        <x:v>Yes</x:v>
      </x:c>
      <x:c r="F11" s="15" t="str">
        <x:v>RDC 406/2020, Art. 1; RDC 406/2020, Art. 2</x:v>
      </x:c>
    </x:row>
    <x:row r="12" ht="24" customHeight="1">
      <x:c r="A12" s="15" t="str">
        <x:v>DIRECT_01</x:v>
      </x:c>
      <x:c r="B12" s="15" t="str">
        <x:v>calibration_20</x:v>
      </x:c>
      <x:c r="C12" s="15" t="str">
        <x:v>Direct</x:v>
      </x:c>
      <x:c r="D12" s="15" t="str">
        <x:v>direct_article</x:v>
      </x:c>
      <x:c r="E12" s="15" t="str">
        <x:v>Yes</x:v>
      </x:c>
      <x:c r="F12" s="15" t="str">
        <x:v>RDC 9/2015, Art. 71</x:v>
      </x:c>
    </x:row>
    <x:row r="13" ht="24" customHeight="1">
      <x:c r="A13" s="15" t="str">
        <x:v>DIRECT_02</x:v>
      </x:c>
      <x:c r="B13" s="15" t="str">
        <x:v>calibration_20</x:v>
      </x:c>
      <x:c r="C13" s="15" t="str">
        <x:v>Direct</x:v>
      </x:c>
      <x:c r="D13" s="15" t="str">
        <x:v>direct_article</x:v>
      </x:c>
      <x:c r="E13" s="15" t="str">
        <x:v>Yes</x:v>
      </x:c>
      <x:c r="F13" s="15" t="str">
        <x:v>RDC 9/2015, Art. 52</x:v>
      </x:c>
    </x:row>
    <x:row r="14" ht="24" customHeight="1">
      <x:c r="A14" s="15" t="str">
        <x:v>DIRECT_03</x:v>
      </x:c>
      <x:c r="B14" s="15" t="str">
        <x:v>held_out_test_75</x:v>
      </x:c>
      <x:c r="C14" s="15" t="str">
        <x:v>Direct</x:v>
      </x:c>
      <x:c r="D14" s="15" t="str">
        <x:v>direct_article</x:v>
      </x:c>
      <x:c r="E14" s="15" t="str">
        <x:v>Yes</x:v>
      </x:c>
      <x:c r="F14" s="15" t="str">
        <x:v>RDC 9/2015, Art. 50</x:v>
      </x:c>
    </x:row>
    <x:row r="15" ht="24" customHeight="1">
      <x:c r="A15" s="15" t="str">
        <x:v>DIRECT_04</x:v>
      </x:c>
      <x:c r="B15" s="15" t="str">
        <x:v>held_out_test_75</x:v>
      </x:c>
      <x:c r="C15" s="15" t="str">
        <x:v>Direct</x:v>
      </x:c>
      <x:c r="D15" s="15" t="str">
        <x:v>direct_article</x:v>
      </x:c>
      <x:c r="E15" s="15" t="str">
        <x:v>Yes</x:v>
      </x:c>
      <x:c r="F15" s="15" t="str">
        <x:v>RDC 9/2015, Art. 69</x:v>
      </x:c>
    </x:row>
    <x:row r="16" ht="24" customHeight="1">
      <x:c r="A16" s="15" t="str">
        <x:v>DIRECT_05</x:v>
      </x:c>
      <x:c r="B16" s="15" t="str">
        <x:v>held_out_test_75</x:v>
      </x:c>
      <x:c r="C16" s="15" t="str">
        <x:v>Direct</x:v>
      </x:c>
      <x:c r="D16" s="15" t="str">
        <x:v>direct_article</x:v>
      </x:c>
      <x:c r="E16" s="15" t="str">
        <x:v>Yes</x:v>
      </x:c>
      <x:c r="F16" s="15" t="str">
        <x:v>RDC 9/2015, Art. 27</x:v>
      </x:c>
    </x:row>
    <x:row r="17" ht="24" customHeight="1">
      <x:c r="A17" s="15" t="str">
        <x:v>DIRECT_06</x:v>
      </x:c>
      <x:c r="B17" s="15" t="str">
        <x:v>held_out_test_75</x:v>
      </x:c>
      <x:c r="C17" s="15" t="str">
        <x:v>Direct</x:v>
      </x:c>
      <x:c r="D17" s="15" t="str">
        <x:v>direct_article</x:v>
      </x:c>
      <x:c r="E17" s="15" t="str">
        <x:v>Yes</x:v>
      </x:c>
      <x:c r="F17" s="15" t="str">
        <x:v>RDC 9/2015, Art. 74</x:v>
      </x:c>
    </x:row>
    <x:row r="18" ht="24" customHeight="1">
      <x:c r="A18" s="15" t="str">
        <x:v>DIRECT_07</x:v>
      </x:c>
      <x:c r="B18" s="15" t="str">
        <x:v>held_out_test_75</x:v>
      </x:c>
      <x:c r="C18" s="15" t="str">
        <x:v>Direct</x:v>
      </x:c>
      <x:c r="D18" s="15" t="str">
        <x:v>direct_article</x:v>
      </x:c>
      <x:c r="E18" s="15" t="str">
        <x:v>Yes</x:v>
      </x:c>
      <x:c r="F18" s="15" t="str">
        <x:v>RDC 9/2015, Art. 11</x:v>
      </x:c>
    </x:row>
    <x:row r="19" ht="24" customHeight="1">
      <x:c r="A19" s="15" t="str">
        <x:v>DIRECT_08</x:v>
      </x:c>
      <x:c r="B19" s="15" t="str">
        <x:v>calibration_20</x:v>
      </x:c>
      <x:c r="C19" s="15" t="str">
        <x:v>Direct</x:v>
      </x:c>
      <x:c r="D19" s="15" t="str">
        <x:v>direct_article</x:v>
      </x:c>
      <x:c r="E19" s="15" t="str">
        <x:v>Yes</x:v>
      </x:c>
      <x:c r="F19" s="15" t="str">
        <x:v>RDC 9/2015, Art. 20</x:v>
      </x:c>
    </x:row>
    <x:row r="20" ht="24" customHeight="1">
      <x:c r="A20" s="15" t="str">
        <x:v>DIRECT_09</x:v>
      </x:c>
      <x:c r="B20" s="15" t="str">
        <x:v>held_out_test_75</x:v>
      </x:c>
      <x:c r="C20" s="15" t="str">
        <x:v>Direct</x:v>
      </x:c>
      <x:c r="D20" s="15" t="str">
        <x:v>direct_article</x:v>
      </x:c>
      <x:c r="E20" s="15" t="str">
        <x:v>Yes</x:v>
      </x:c>
      <x:c r="F20" s="15" t="str">
        <x:v>RDC 9/2015, Art. 39</x:v>
      </x:c>
    </x:row>
    <x:row r="21" ht="24" customHeight="1">
      <x:c r="A21" s="15" t="str">
        <x:v>DIRECT_10</x:v>
      </x:c>
      <x:c r="B21" s="15" t="str">
        <x:v>calibration_20</x:v>
      </x:c>
      <x:c r="C21" s="15" t="str">
        <x:v>Direct</x:v>
      </x:c>
      <x:c r="D21" s="15" t="str">
        <x:v>direct_article</x:v>
      </x:c>
      <x:c r="E21" s="15" t="str">
        <x:v>Yes</x:v>
      </x:c>
      <x:c r="F21" s="15" t="str">
        <x:v>RDC 9/2015, Art. 34</x:v>
      </x:c>
    </x:row>
    <x:row r="22" ht="24" customHeight="1">
      <x:c r="A22" s="15" t="str">
        <x:v>DIRECT_11</x:v>
      </x:c>
      <x:c r="B22" s="15" t="str">
        <x:v>held_out_test_75</x:v>
      </x:c>
      <x:c r="C22" s="15" t="str">
        <x:v>Direct</x:v>
      </x:c>
      <x:c r="D22" s="15" t="str">
        <x:v>direct_article</x:v>
      </x:c>
      <x:c r="E22" s="15" t="str">
        <x:v>Yes</x:v>
      </x:c>
      <x:c r="F22" s="15" t="str">
        <x:v>RDC 9/2015, Art. 25</x:v>
      </x:c>
    </x:row>
    <x:row r="23" ht="24" customHeight="1">
      <x:c r="A23" s="15" t="str">
        <x:v>DIRECT_12</x:v>
      </x:c>
      <x:c r="B23" s="15" t="str">
        <x:v>held_out_test_75</x:v>
      </x:c>
      <x:c r="C23" s="15" t="str">
        <x:v>Direct</x:v>
      </x:c>
      <x:c r="D23" s="15" t="str">
        <x:v>direct_article</x:v>
      </x:c>
      <x:c r="E23" s="15" t="str">
        <x:v>Yes</x:v>
      </x:c>
      <x:c r="F23" s="15" t="str">
        <x:v>RDC 9/2015, Art. 47</x:v>
      </x:c>
    </x:row>
    <x:row r="24" ht="24" customHeight="1">
      <x:c r="A24" s="15" t="str">
        <x:v>DIRECT_13</x:v>
      </x:c>
      <x:c r="B24" s="15" t="str">
        <x:v>held_out_test_75</x:v>
      </x:c>
      <x:c r="C24" s="15" t="str">
        <x:v>Direct</x:v>
      </x:c>
      <x:c r="D24" s="15" t="str">
        <x:v>direct_article</x:v>
      </x:c>
      <x:c r="E24" s="15" t="str">
        <x:v>Yes</x:v>
      </x:c>
      <x:c r="F24" s="15" t="str">
        <x:v>RDC 55/2010, Art. 30</x:v>
      </x:c>
    </x:row>
    <x:row r="25" ht="24" customHeight="1">
      <x:c r="A25" s="15" t="str">
        <x:v>DIRECT_14</x:v>
      </x:c>
      <x:c r="B25" s="15" t="str">
        <x:v>calibration_20</x:v>
      </x:c>
      <x:c r="C25" s="15" t="str">
        <x:v>Direct</x:v>
      </x:c>
      <x:c r="D25" s="15" t="str">
        <x:v>direct_article</x:v>
      </x:c>
      <x:c r="E25" s="15" t="str">
        <x:v>Yes</x:v>
      </x:c>
      <x:c r="F25" s="15" t="str">
        <x:v>RDC 55/2010, Art. 32</x:v>
      </x:c>
    </x:row>
    <x:row r="26" ht="24" customHeight="1">
      <x:c r="A26" s="15" t="str">
        <x:v>DIRECT_15</x:v>
      </x:c>
      <x:c r="B26" s="15" t="str">
        <x:v>held_out_test_75</x:v>
      </x:c>
      <x:c r="C26" s="15" t="str">
        <x:v>Direct</x:v>
      </x:c>
      <x:c r="D26" s="15" t="str">
        <x:v>direct_article</x:v>
      </x:c>
      <x:c r="E26" s="15" t="str">
        <x:v>Yes</x:v>
      </x:c>
      <x:c r="F26" s="15" t="str">
        <x:v>RDC 55/2010, Art. 34</x:v>
      </x:c>
    </x:row>
    <x:row r="27" ht="24" customHeight="1">
      <x:c r="A27" s="15" t="str">
        <x:v>DIRECT_16</x:v>
      </x:c>
      <x:c r="B27" s="15" t="str">
        <x:v>held_out_test_75</x:v>
      </x:c>
      <x:c r="C27" s="15" t="str">
        <x:v>Direct</x:v>
      </x:c>
      <x:c r="D27" s="15" t="str">
        <x:v>direct_article</x:v>
      </x:c>
      <x:c r="E27" s="15" t="str">
        <x:v>Yes</x:v>
      </x:c>
      <x:c r="F27" s="15" t="str">
        <x:v>RDC 55/2010, Art. 43</x:v>
      </x:c>
    </x:row>
    <x:row r="28" ht="24" customHeight="1">
      <x:c r="A28" s="15" t="str">
        <x:v>DIRECT_17</x:v>
      </x:c>
      <x:c r="B28" s="15" t="str">
        <x:v>held_out_test_75</x:v>
      </x:c>
      <x:c r="C28" s="15" t="str">
        <x:v>Direct</x:v>
      </x:c>
      <x:c r="D28" s="15" t="str">
        <x:v>direct_article</x:v>
      </x:c>
      <x:c r="E28" s="15" t="str">
        <x:v>Yes</x:v>
      </x:c>
      <x:c r="F28" s="15" t="str">
        <x:v>RDC 55/2010, Art. 23</x:v>
      </x:c>
    </x:row>
    <x:row r="29" ht="24" customHeight="1">
      <x:c r="A29" s="15" t="str">
        <x:v>DIRECT_18</x:v>
      </x:c>
      <x:c r="B29" s="15" t="str">
        <x:v>held_out_test_75</x:v>
      </x:c>
      <x:c r="C29" s="15" t="str">
        <x:v>Direct</x:v>
      </x:c>
      <x:c r="D29" s="15" t="str">
        <x:v>direct_article</x:v>
      </x:c>
      <x:c r="E29" s="15" t="str">
        <x:v>Yes</x:v>
      </x:c>
      <x:c r="F29" s="15" t="str">
        <x:v>RDC 55/2010, Art. 46</x:v>
      </x:c>
    </x:row>
    <x:row r="30" ht="24" customHeight="1">
      <x:c r="A30" s="15" t="str">
        <x:v>DIRECT_19</x:v>
      </x:c>
      <x:c r="B30" s="15" t="str">
        <x:v>held_out_test_75</x:v>
      </x:c>
      <x:c r="C30" s="15" t="str">
        <x:v>Direct</x:v>
      </x:c>
      <x:c r="D30" s="15" t="str">
        <x:v>direct_article</x:v>
      </x:c>
      <x:c r="E30" s="15" t="str">
        <x:v>Yes</x:v>
      </x:c>
      <x:c r="F30" s="15" t="str">
        <x:v>RDC 55/2010, Art. 27</x:v>
      </x:c>
    </x:row>
    <x:row r="31" ht="24" customHeight="1">
      <x:c r="A31" s="15" t="str">
        <x:v>DIRECT_20</x:v>
      </x:c>
      <x:c r="B31" s="15" t="str">
        <x:v>held_out_test_75</x:v>
      </x:c>
      <x:c r="C31" s="15" t="str">
        <x:v>Direct</x:v>
      </x:c>
      <x:c r="D31" s="15" t="str">
        <x:v>direct_article</x:v>
      </x:c>
      <x:c r="E31" s="15" t="str">
        <x:v>Yes</x:v>
      </x:c>
      <x:c r="F31" s="15" t="str">
        <x:v>RDC 55/2010, Art. 18</x:v>
      </x:c>
    </x:row>
    <x:row r="32" ht="24" customHeight="1">
      <x:c r="A32" s="15" t="str">
        <x:v>DIRECT_21</x:v>
      </x:c>
      <x:c r="B32" s="15" t="str">
        <x:v>held_out_test_75</x:v>
      </x:c>
      <x:c r="C32" s="15" t="str">
        <x:v>Direct</x:v>
      </x:c>
      <x:c r="D32" s="15" t="str">
        <x:v>direct_article</x:v>
      </x:c>
      <x:c r="E32" s="15" t="str">
        <x:v>Yes</x:v>
      </x:c>
      <x:c r="F32" s="15" t="str">
        <x:v>RDC 55/2010, Art. 36</x:v>
      </x:c>
    </x:row>
    <x:row r="33" ht="24" customHeight="1">
      <x:c r="A33" s="15" t="str">
        <x:v>DIRECT_22</x:v>
      </x:c>
      <x:c r="B33" s="15" t="str">
        <x:v>held_out_test_75</x:v>
      </x:c>
      <x:c r="C33" s="15" t="str">
        <x:v>Direct</x:v>
      </x:c>
      <x:c r="D33" s="15" t="str">
        <x:v>direct_article</x:v>
      </x:c>
      <x:c r="E33" s="15" t="str">
        <x:v>Yes</x:v>
      </x:c>
      <x:c r="F33" s="15" t="str">
        <x:v>RDC 55/2010, Art. 15</x:v>
      </x:c>
    </x:row>
    <x:row r="34" ht="24" customHeight="1">
      <x:c r="A34" s="15" t="str">
        <x:v>DIRECT_23</x:v>
      </x:c>
      <x:c r="B34" s="15" t="str">
        <x:v>held_out_test_75</x:v>
      </x:c>
      <x:c r="C34" s="15" t="str">
        <x:v>Direct</x:v>
      </x:c>
      <x:c r="D34" s="15" t="str">
        <x:v>direct_article</x:v>
      </x:c>
      <x:c r="E34" s="15" t="str">
        <x:v>Yes</x:v>
      </x:c>
      <x:c r="F34" s="15" t="str">
        <x:v>RDC 55/2010, Art. 49</x:v>
      </x:c>
    </x:row>
    <x:row r="35" ht="24" customHeight="1">
      <x:c r="A35" s="15" t="str">
        <x:v>DIRECT_24</x:v>
      </x:c>
      <x:c r="B35" s="15" t="str">
        <x:v>held_out_test_75</x:v>
      </x:c>
      <x:c r="C35" s="15" t="str">
        <x:v>Direct</x:v>
      </x:c>
      <x:c r="D35" s="15" t="str">
        <x:v>direct_article</x:v>
      </x:c>
      <x:c r="E35" s="15" t="str">
        <x:v>Yes</x:v>
      </x:c>
      <x:c r="F35" s="15" t="str">
        <x:v>RDC 55/2010, Art. 9</x:v>
      </x:c>
    </x:row>
    <x:row r="36" ht="24" customHeight="1">
      <x:c r="A36" s="15" t="str">
        <x:v>DIRECT_25</x:v>
      </x:c>
      <x:c r="B36" s="15" t="str">
        <x:v>held_out_test_75</x:v>
      </x:c>
      <x:c r="C36" s="15" t="str">
        <x:v>Direct</x:v>
      </x:c>
      <x:c r="D36" s="15" t="str">
        <x:v>direct_article</x:v>
      </x:c>
      <x:c r="E36" s="15" t="str">
        <x:v>Yes</x:v>
      </x:c>
      <x:c r="F36" s="15" t="str">
        <x:v>RDC 751/2022, Art. 2</x:v>
      </x:c>
    </x:row>
    <x:row r="37" ht="24" customHeight="1">
      <x:c r="A37" s="15" t="str">
        <x:v>DIRECT_26</x:v>
      </x:c>
      <x:c r="B37" s="15" t="str">
        <x:v>held_out_test_75</x:v>
      </x:c>
      <x:c r="C37" s="15" t="str">
        <x:v>Direct</x:v>
      </x:c>
      <x:c r="D37" s="15" t="str">
        <x:v>direct_article</x:v>
      </x:c>
      <x:c r="E37" s="15" t="str">
        <x:v>Yes</x:v>
      </x:c>
      <x:c r="F37" s="15" t="str">
        <x:v>RDC 751/2022, Art. 62</x:v>
      </x:c>
    </x:row>
    <x:row r="38" ht="24" customHeight="1">
      <x:c r="A38" s="15" t="str">
        <x:v>DIRECT_27</x:v>
      </x:c>
      <x:c r="B38" s="15" t="str">
        <x:v>held_out_test_75</x:v>
      </x:c>
      <x:c r="C38" s="15" t="str">
        <x:v>Direct</x:v>
      </x:c>
      <x:c r="D38" s="15" t="str">
        <x:v>direct_article</x:v>
      </x:c>
      <x:c r="E38" s="15" t="str">
        <x:v>Yes</x:v>
      </x:c>
      <x:c r="F38" s="15" t="str">
        <x:v>RDC 751/2022, Art. 10</x:v>
      </x:c>
    </x:row>
    <x:row r="39" ht="24" customHeight="1">
      <x:c r="A39" s="15" t="str">
        <x:v>DIRECT_28</x:v>
      </x:c>
      <x:c r="B39" s="15" t="str">
        <x:v>held_out_test_75</x:v>
      </x:c>
      <x:c r="C39" s="15" t="str">
        <x:v>Direct</x:v>
      </x:c>
      <x:c r="D39" s="15" t="str">
        <x:v>direct_article</x:v>
      </x:c>
      <x:c r="E39" s="15" t="str">
        <x:v>Yes</x:v>
      </x:c>
      <x:c r="F39" s="15" t="str">
        <x:v>RDC 751/2022, Art. 38</x:v>
      </x:c>
    </x:row>
    <x:row r="40" ht="24" customHeight="1">
      <x:c r="A40" s="15" t="str">
        <x:v>DIRECT_29</x:v>
      </x:c>
      <x:c r="B40" s="15" t="str">
        <x:v>calibration_20</x:v>
      </x:c>
      <x:c r="C40" s="15" t="str">
        <x:v>Direct</x:v>
      </x:c>
      <x:c r="D40" s="15" t="str">
        <x:v>direct_article</x:v>
      </x:c>
      <x:c r="E40" s="15" t="str">
        <x:v>Yes</x:v>
      </x:c>
      <x:c r="F40" s="15" t="str">
        <x:v>RDC 751/2022, Art. 8</x:v>
      </x:c>
    </x:row>
    <x:row r="41" ht="24" customHeight="1">
      <x:c r="A41" s="15" t="str">
        <x:v>DIRECT_30</x:v>
      </x:c>
      <x:c r="B41" s="15" t="str">
        <x:v>dev_remaining_5</x:v>
      </x:c>
      <x:c r="C41" s="15" t="str">
        <x:v>Direct</x:v>
      </x:c>
      <x:c r="D41" s="15" t="str">
        <x:v>direct_article</x:v>
      </x:c>
      <x:c r="E41" s="15" t="str">
        <x:v>Yes</x:v>
      </x:c>
      <x:c r="F41" s="15" t="str">
        <x:v>RDC 751/2022, Art. 14</x:v>
      </x:c>
    </x:row>
    <x:row r="42" ht="24" customHeight="1">
      <x:c r="A42" s="15" t="str">
        <x:v>DIRECT_31</x:v>
      </x:c>
      <x:c r="B42" s="15" t="str">
        <x:v>calibration_20</x:v>
      </x:c>
      <x:c r="C42" s="15" t="str">
        <x:v>Direct</x:v>
      </x:c>
      <x:c r="D42" s="15" t="str">
        <x:v>direct_article</x:v>
      </x:c>
      <x:c r="E42" s="15" t="str">
        <x:v>Yes</x:v>
      </x:c>
      <x:c r="F42" s="15" t="str">
        <x:v>RDC 751/2022, Art. 33</x:v>
      </x:c>
    </x:row>
    <x:row r="43" ht="24" customHeight="1">
      <x:c r="A43" s="15" t="str">
        <x:v>DIRECT_32</x:v>
      </x:c>
      <x:c r="B43" s="15" t="str">
        <x:v>held_out_test_75</x:v>
      </x:c>
      <x:c r="C43" s="15" t="str">
        <x:v>Direct</x:v>
      </x:c>
      <x:c r="D43" s="15" t="str">
        <x:v>direct_article</x:v>
      </x:c>
      <x:c r="E43" s="15" t="str">
        <x:v>Yes</x:v>
      </x:c>
      <x:c r="F43" s="15" t="str">
        <x:v>RDC 751/2022, Art. 16</x:v>
      </x:c>
    </x:row>
    <x:row r="44" ht="24" customHeight="1">
      <x:c r="A44" s="15" t="str">
        <x:v>DIRECT_33</x:v>
      </x:c>
      <x:c r="B44" s="15" t="str">
        <x:v>held_out_test_75</x:v>
      </x:c>
      <x:c r="C44" s="15" t="str">
        <x:v>Direct</x:v>
      </x:c>
      <x:c r="D44" s="15" t="str">
        <x:v>direct_article</x:v>
      </x:c>
      <x:c r="E44" s="15" t="str">
        <x:v>Yes</x:v>
      </x:c>
      <x:c r="F44" s="15" t="str">
        <x:v>RDC 751/2022, Art. 27</x:v>
      </x:c>
    </x:row>
    <x:row r="45" ht="24" customHeight="1">
      <x:c r="A45" s="15" t="str">
        <x:v>DIRECT_34</x:v>
      </x:c>
      <x:c r="B45" s="15" t="str">
        <x:v>calibration_20</x:v>
      </x:c>
      <x:c r="C45" s="15" t="str">
        <x:v>Direct</x:v>
      </x:c>
      <x:c r="D45" s="15" t="str">
        <x:v>direct_article</x:v>
      </x:c>
      <x:c r="E45" s="15" t="str">
        <x:v>Yes</x:v>
      </x:c>
      <x:c r="F45" s="15" t="str">
        <x:v>RDC 751/2022, Art. 47</x:v>
      </x:c>
    </x:row>
    <x:row r="46" ht="24" customHeight="1">
      <x:c r="A46" s="15" t="str">
        <x:v>DIRECT_35</x:v>
      </x:c>
      <x:c r="B46" s="15" t="str">
        <x:v>calibration_20</x:v>
      </x:c>
      <x:c r="C46" s="15" t="str">
        <x:v>Direct</x:v>
      </x:c>
      <x:c r="D46" s="15" t="str">
        <x:v>direct_article</x:v>
      </x:c>
      <x:c r="E46" s="15" t="str">
        <x:v>Yes</x:v>
      </x:c>
      <x:c r="F46" s="15" t="str">
        <x:v>RDC 751/2022, Art. 56</x:v>
      </x:c>
    </x:row>
    <x:row r="47" ht="24" customHeight="1">
      <x:c r="A47" s="15" t="str">
        <x:v>DIRECT_36</x:v>
      </x:c>
      <x:c r="B47" s="15" t="str">
        <x:v>held_out_test_75</x:v>
      </x:c>
      <x:c r="C47" s="15" t="str">
        <x:v>Direct</x:v>
      </x:c>
      <x:c r="D47" s="15" t="str">
        <x:v>direct_article</x:v>
      </x:c>
      <x:c r="E47" s="15" t="str">
        <x:v>Yes</x:v>
      </x:c>
      <x:c r="F47" s="15" t="str">
        <x:v>RDC 751/2022, Art. 29</x:v>
      </x:c>
    </x:row>
    <x:row r="48" ht="24" customHeight="1">
      <x:c r="A48" s="15" t="str">
        <x:v>DIRECT_37</x:v>
      </x:c>
      <x:c r="B48" s="15" t="str">
        <x:v>held_out_test_75</x:v>
      </x:c>
      <x:c r="C48" s="15" t="str">
        <x:v>Direct</x:v>
      </x:c>
      <x:c r="D48" s="15" t="str">
        <x:v>direct_article</x:v>
      </x:c>
      <x:c r="E48" s="15" t="str">
        <x:v>Yes</x:v>
      </x:c>
      <x:c r="F48" s="15" t="str">
        <x:v>RDC 406/2020, Art. 30</x:v>
      </x:c>
    </x:row>
    <x:row r="49" ht="24" customHeight="1">
      <x:c r="A49" s="15" t="str">
        <x:v>DIRECT_38</x:v>
      </x:c>
      <x:c r="B49" s="15" t="str">
        <x:v>held_out_test_75</x:v>
      </x:c>
      <x:c r="C49" s="15" t="str">
        <x:v>Direct</x:v>
      </x:c>
      <x:c r="D49" s="15" t="str">
        <x:v>direct_article</x:v>
      </x:c>
      <x:c r="E49" s="15" t="str">
        <x:v>Yes</x:v>
      </x:c>
      <x:c r="F49" s="15" t="str">
        <x:v>RDC 406/2020, Art. 24</x:v>
      </x:c>
    </x:row>
    <x:row r="50" ht="24" customHeight="1">
      <x:c r="A50" s="15" t="str">
        <x:v>DIRECT_39</x:v>
      </x:c>
      <x:c r="B50" s="15" t="str">
        <x:v>held_out_test_75</x:v>
      </x:c>
      <x:c r="C50" s="15" t="str">
        <x:v>Direct</x:v>
      </x:c>
      <x:c r="D50" s="15" t="str">
        <x:v>direct_article</x:v>
      </x:c>
      <x:c r="E50" s="15" t="str">
        <x:v>Yes</x:v>
      </x:c>
      <x:c r="F50" s="15" t="str">
        <x:v>RDC 406/2020, Art. 44</x:v>
      </x:c>
    </x:row>
    <x:row r="51" ht="24" customHeight="1">
      <x:c r="A51" s="15" t="str">
        <x:v>DIRECT_40</x:v>
      </x:c>
      <x:c r="B51" s="15" t="str">
        <x:v>held_out_test_75</x:v>
      </x:c>
      <x:c r="C51" s="15" t="str">
        <x:v>Direct</x:v>
      </x:c>
      <x:c r="D51" s="15" t="str">
        <x:v>direct_article</x:v>
      </x:c>
      <x:c r="E51" s="15" t="str">
        <x:v>Yes</x:v>
      </x:c>
      <x:c r="F51" s="15" t="str">
        <x:v>RDC 406/2020, Art. 10</x:v>
      </x:c>
    </x:row>
    <x:row r="52" ht="24" customHeight="1">
      <x:c r="A52" s="15" t="str">
        <x:v>DIRECT_41</x:v>
      </x:c>
      <x:c r="B52" s="15" t="str">
        <x:v>dev_remaining_5</x:v>
      </x:c>
      <x:c r="C52" s="15" t="str">
        <x:v>Direct</x:v>
      </x:c>
      <x:c r="D52" s="15" t="str">
        <x:v>direct_article</x:v>
      </x:c>
      <x:c r="E52" s="15" t="str">
        <x:v>Yes</x:v>
      </x:c>
      <x:c r="F52" s="15" t="str">
        <x:v>RDC 406/2020, Art. 15</x:v>
      </x:c>
    </x:row>
    <x:row r="53" ht="24" customHeight="1">
      <x:c r="A53" s="15" t="str">
        <x:v>DIRECT_42</x:v>
      </x:c>
      <x:c r="B53" s="15" t="str">
        <x:v>calibration_20</x:v>
      </x:c>
      <x:c r="C53" s="15" t="str">
        <x:v>Direct</x:v>
      </x:c>
      <x:c r="D53" s="15" t="str">
        <x:v>direct_article</x:v>
      </x:c>
      <x:c r="E53" s="15" t="str">
        <x:v>Yes</x:v>
      </x:c>
      <x:c r="F53" s="15" t="str">
        <x:v>RDC 406/2020, Art. 4</x:v>
      </x:c>
    </x:row>
    <x:row r="54" ht="24" customHeight="1">
      <x:c r="A54" s="15" t="str">
        <x:v>DIRECT_43</x:v>
      </x:c>
      <x:c r="B54" s="15" t="str">
        <x:v>held_out_test_75</x:v>
      </x:c>
      <x:c r="C54" s="15" t="str">
        <x:v>Direct</x:v>
      </x:c>
      <x:c r="D54" s="15" t="str">
        <x:v>direct_article</x:v>
      </x:c>
      <x:c r="E54" s="15" t="str">
        <x:v>Yes</x:v>
      </x:c>
      <x:c r="F54" s="15" t="str">
        <x:v>RDC 406/2020, Art. 28</x:v>
      </x:c>
    </x:row>
    <x:row r="55" ht="24" customHeight="1">
      <x:c r="A55" s="15" t="str">
        <x:v>DIRECT_44</x:v>
      </x:c>
      <x:c r="B55" s="15" t="str">
        <x:v>held_out_test_75</x:v>
      </x:c>
      <x:c r="C55" s="15" t="str">
        <x:v>Direct</x:v>
      </x:c>
      <x:c r="D55" s="15" t="str">
        <x:v>direct_article</x:v>
      </x:c>
      <x:c r="E55" s="15" t="str">
        <x:v>Yes</x:v>
      </x:c>
      <x:c r="F55" s="15" t="str">
        <x:v>RDC 406/2020, Art. 7</x:v>
      </x:c>
    </x:row>
    <x:row r="56" ht="24" customHeight="1">
      <x:c r="A56" s="15" t="str">
        <x:v>DIRECT_45</x:v>
      </x:c>
      <x:c r="B56" s="15" t="str">
        <x:v>held_out_test_75</x:v>
      </x:c>
      <x:c r="C56" s="15" t="str">
        <x:v>Direct</x:v>
      </x:c>
      <x:c r="D56" s="15" t="str">
        <x:v>direct_article</x:v>
      </x:c>
      <x:c r="E56" s="15" t="str">
        <x:v>Yes</x:v>
      </x:c>
      <x:c r="F56" s="15" t="str">
        <x:v>RDC 406/2020, Art. 33</x:v>
      </x:c>
    </x:row>
    <x:row r="57" ht="24" customHeight="1">
      <x:c r="A57" s="15" t="str">
        <x:v>DIRECT_46</x:v>
      </x:c>
      <x:c r="B57" s="15" t="str">
        <x:v>held_out_test_75</x:v>
      </x:c>
      <x:c r="C57" s="15" t="str">
        <x:v>Direct</x:v>
      </x:c>
      <x:c r="D57" s="15" t="str">
        <x:v>direct_article</x:v>
      </x:c>
      <x:c r="E57" s="15" t="str">
        <x:v>Yes</x:v>
      </x:c>
      <x:c r="F57" s="15" t="str">
        <x:v>RDC 406/2020, Art. 12</x:v>
      </x:c>
    </x:row>
    <x:row r="58" ht="24" customHeight="1">
      <x:c r="A58" s="15" t="str">
        <x:v>DIRECT_47</x:v>
      </x:c>
      <x:c r="B58" s="15" t="str">
        <x:v>held_out_test_75</x:v>
      </x:c>
      <x:c r="C58" s="15" t="str">
        <x:v>Direct</x:v>
      </x:c>
      <x:c r="D58" s="15" t="str">
        <x:v>direct_article</x:v>
      </x:c>
      <x:c r="E58" s="15" t="str">
        <x:v>Yes</x:v>
      </x:c>
      <x:c r="F58" s="15" t="str">
        <x:v>RDC 406/2020, Art. 19</x:v>
      </x:c>
    </x:row>
    <x:row r="59" ht="24" customHeight="1">
      <x:c r="A59" s="15" t="str">
        <x:v>DIRECT_48</x:v>
      </x:c>
      <x:c r="B59" s="15" t="str">
        <x:v>held_out_test_75</x:v>
      </x:c>
      <x:c r="C59" s="15" t="str">
        <x:v>Direct</x:v>
      </x:c>
      <x:c r="D59" s="15" t="str">
        <x:v>direct_article</x:v>
      </x:c>
      <x:c r="E59" s="15" t="str">
        <x:v>Yes</x:v>
      </x:c>
      <x:c r="F59" s="15" t="str">
        <x:v>RDC 406/2020, Art. 46</x:v>
      </x:c>
    </x:row>
    <x:row r="60" ht="24" customHeight="1">
      <x:c r="A60" s="15" t="str">
        <x:v>DIRECT_49</x:v>
      </x:c>
      <x:c r="B60" s="15" t="str">
        <x:v>calibration_20</x:v>
      </x:c>
      <x:c r="C60" s="15" t="str">
        <x:v>Direct</x:v>
      </x:c>
      <x:c r="D60" s="15" t="str">
        <x:v>direct_article</x:v>
      </x:c>
      <x:c r="E60" s="15" t="str">
        <x:v>Yes</x:v>
      </x:c>
      <x:c r="F60" s="15" t="str">
        <x:v>IN 338/2024, Art. 5</x:v>
      </x:c>
    </x:row>
    <x:row r="61" ht="24" customHeight="1">
      <x:c r="A61" s="15" t="str">
        <x:v>DIRECT_50</x:v>
      </x:c>
      <x:c r="B61" s="15" t="str">
        <x:v>held_out_test_75</x:v>
      </x:c>
      <x:c r="C61" s="15" t="str">
        <x:v>Direct</x:v>
      </x:c>
      <x:c r="D61" s="15" t="str">
        <x:v>direct_article</x:v>
      </x:c>
      <x:c r="E61" s="15" t="str">
        <x:v>Yes</x:v>
      </x:c>
      <x:c r="F61" s="15" t="str">
        <x:v>IN 338/2024, Art. 8</x:v>
      </x:c>
    </x:row>
    <x:row r="62" ht="24" customHeight="1">
      <x:c r="A62" s="15" t="str">
        <x:v>DIRECT_51</x:v>
      </x:c>
      <x:c r="B62" s="15" t="str">
        <x:v>held_out_test_75</x:v>
      </x:c>
      <x:c r="C62" s="15" t="str">
        <x:v>Direct</x:v>
      </x:c>
      <x:c r="D62" s="15" t="str">
        <x:v>direct_article</x:v>
      </x:c>
      <x:c r="E62" s="15" t="str">
        <x:v>Yes</x:v>
      </x:c>
      <x:c r="F62" s="15" t="str">
        <x:v>IN 338/2024, Art. 11</x:v>
      </x:c>
    </x:row>
    <x:row r="63" ht="24" customHeight="1">
      <x:c r="A63" s="15" t="str">
        <x:v>DIRECT_52</x:v>
      </x:c>
      <x:c r="B63" s="15" t="str">
        <x:v>held_out_test_75</x:v>
      </x:c>
      <x:c r="C63" s="15" t="str">
        <x:v>Direct</x:v>
      </x:c>
      <x:c r="D63" s="15" t="str">
        <x:v>direct_article</x:v>
      </x:c>
      <x:c r="E63" s="15" t="str">
        <x:v>Yes</x:v>
      </x:c>
      <x:c r="F63" s="15" t="str">
        <x:v>IN 338/2024, Art. 1</x:v>
      </x:c>
    </x:row>
    <x:row r="64" ht="24" customHeight="1">
      <x:c r="A64" s="15" t="str">
        <x:v>DIRECT_53</x:v>
      </x:c>
      <x:c r="B64" s="15" t="str">
        <x:v>calibration_20</x:v>
      </x:c>
      <x:c r="C64" s="15" t="str">
        <x:v>Direct</x:v>
      </x:c>
      <x:c r="D64" s="15" t="str">
        <x:v>direct_article</x:v>
      </x:c>
      <x:c r="E64" s="15" t="str">
        <x:v>Yes</x:v>
      </x:c>
      <x:c r="F64" s="15" t="str">
        <x:v>IN 338/2024, Art. 7</x:v>
      </x:c>
    </x:row>
    <x:row r="65" ht="24" customHeight="1">
      <x:c r="A65" s="15" t="str">
        <x:v>DIRECT_54</x:v>
      </x:c>
      <x:c r="B65" s="15" t="str">
        <x:v>held_out_test_75</x:v>
      </x:c>
      <x:c r="C65" s="15" t="str">
        <x:v>Direct</x:v>
      </x:c>
      <x:c r="D65" s="15" t="str">
        <x:v>direct_article</x:v>
      </x:c>
      <x:c r="E65" s="15" t="str">
        <x:v>Yes</x:v>
      </x:c>
      <x:c r="F65" s="15" t="str">
        <x:v>IN 338/2024, Art. 6</x:v>
      </x:c>
    </x:row>
    <x:row r="66" ht="24" customHeight="1">
      <x:c r="A66" s="15" t="str">
        <x:v>DIRECT_55</x:v>
      </x:c>
      <x:c r="B66" s="15" t="str">
        <x:v>held_out_test_75</x:v>
      </x:c>
      <x:c r="C66" s="15" t="str">
        <x:v>Direct</x:v>
      </x:c>
      <x:c r="D66" s="15" t="str">
        <x:v>direct_article</x:v>
      </x:c>
      <x:c r="E66" s="15" t="str">
        <x:v>Yes</x:v>
      </x:c>
      <x:c r="F66" s="15" t="str">
        <x:v>IN 338/2024, Art. 4</x:v>
      </x:c>
    </x:row>
    <x:row r="67" ht="24" customHeight="1">
      <x:c r="A67" s="15" t="str">
        <x:v>DIRECT_56</x:v>
      </x:c>
      <x:c r="B67" s="15" t="str">
        <x:v>calibration_20</x:v>
      </x:c>
      <x:c r="C67" s="15" t="str">
        <x:v>Direct</x:v>
      </x:c>
      <x:c r="D67" s="15" t="str">
        <x:v>direct_article</x:v>
      </x:c>
      <x:c r="E67" s="15" t="str">
        <x:v>Yes</x:v>
      </x:c>
      <x:c r="F67" s="15" t="str">
        <x:v>IN 338/2024, Art. 10</x:v>
      </x:c>
    </x:row>
    <x:row r="68" ht="24" customHeight="1">
      <x:c r="A68" s="15" t="str">
        <x:v>DIRECT_57</x:v>
      </x:c>
      <x:c r="B68" s="15" t="str">
        <x:v>held_out_test_75</x:v>
      </x:c>
      <x:c r="C68" s="15" t="str">
        <x:v>Direct</x:v>
      </x:c>
      <x:c r="D68" s="15" t="str">
        <x:v>direct_article</x:v>
      </x:c>
      <x:c r="E68" s="15" t="str">
        <x:v>Yes</x:v>
      </x:c>
      <x:c r="F68" s="15" t="str">
        <x:v>IN 338/2024, Art. 12</x:v>
      </x:c>
    </x:row>
    <x:row r="69" ht="24" customHeight="1">
      <x:c r="A69" s="15" t="str">
        <x:v>DIRECT_58</x:v>
      </x:c>
      <x:c r="B69" s="15" t="str">
        <x:v>held_out_test_75</x:v>
      </x:c>
      <x:c r="C69" s="15" t="str">
        <x:v>Direct</x:v>
      </x:c>
      <x:c r="D69" s="15" t="str">
        <x:v>direct_article</x:v>
      </x:c>
      <x:c r="E69" s="15" t="str">
        <x:v>Yes</x:v>
      </x:c>
      <x:c r="F69" s="15" t="str">
        <x:v>IN 338/2024, Art. 2</x:v>
      </x:c>
    </x:row>
    <x:row r="70" ht="24" customHeight="1">
      <x:c r="A70" s="15" t="str">
        <x:v>DIRECT_59</x:v>
      </x:c>
      <x:c r="B70" s="15" t="str">
        <x:v>held_out_test_75</x:v>
      </x:c>
      <x:c r="C70" s="15" t="str">
        <x:v>Direct</x:v>
      </x:c>
      <x:c r="D70" s="15" t="str">
        <x:v>direct_article</x:v>
      </x:c>
      <x:c r="E70" s="15" t="str">
        <x:v>Yes</x:v>
      </x:c>
      <x:c r="F70" s="15" t="str">
        <x:v>RDC 945/2024, Art. 83</x:v>
      </x:c>
    </x:row>
    <x:row r="71" ht="24" customHeight="1">
      <x:c r="A71" s="15" t="str">
        <x:v>DIRECT_60</x:v>
      </x:c>
      <x:c r="B71" s="15" t="str">
        <x:v>held_out_test_75</x:v>
      </x:c>
      <x:c r="C71" s="15" t="str">
        <x:v>Direct</x:v>
      </x:c>
      <x:c r="D71" s="15" t="str">
        <x:v>direct_article</x:v>
      </x:c>
      <x:c r="E71" s="15" t="str">
        <x:v>Yes</x:v>
      </x:c>
      <x:c r="F71" s="15" t="str">
        <x:v>RDC 945/2024, Art. 74</x:v>
      </x:c>
    </x:row>
    <x:row r="72" ht="24" customHeight="1">
      <x:c r="A72" s="15" t="str">
        <x:v>DIRECT_61</x:v>
      </x:c>
      <x:c r="B72" s="15" t="str">
        <x:v>held_out_test_75</x:v>
      </x:c>
      <x:c r="C72" s="15" t="str">
        <x:v>Direct</x:v>
      </x:c>
      <x:c r="D72" s="15" t="str">
        <x:v>direct_article</x:v>
      </x:c>
      <x:c r="E72" s="15" t="str">
        <x:v>Yes</x:v>
      </x:c>
      <x:c r="F72" s="15" t="str">
        <x:v>RDC 945/2024, Art. 52</x:v>
      </x:c>
    </x:row>
    <x:row r="73" ht="24" customHeight="1">
      <x:c r="A73" s="15" t="str">
        <x:v>DIRECT_62</x:v>
      </x:c>
      <x:c r="B73" s="15" t="str">
        <x:v>held_out_test_75</x:v>
      </x:c>
      <x:c r="C73" s="15" t="str">
        <x:v>Direct</x:v>
      </x:c>
      <x:c r="D73" s="15" t="str">
        <x:v>direct_article</x:v>
      </x:c>
      <x:c r="E73" s="15" t="str">
        <x:v>Yes</x:v>
      </x:c>
      <x:c r="F73" s="15" t="str">
        <x:v>RDC 945/2024, Art. 87</x:v>
      </x:c>
    </x:row>
    <x:row r="74" ht="24" customHeight="1">
      <x:c r="A74" s="15" t="str">
        <x:v>DIRECT_63</x:v>
      </x:c>
      <x:c r="B74" s="15" t="str">
        <x:v>held_out_test_75</x:v>
      </x:c>
      <x:c r="C74" s="15" t="str">
        <x:v>Direct</x:v>
      </x:c>
      <x:c r="D74" s="15" t="str">
        <x:v>direct_article</x:v>
      </x:c>
      <x:c r="E74" s="15" t="str">
        <x:v>Yes</x:v>
      </x:c>
      <x:c r="F74" s="15" t="str">
        <x:v>RDC 945/2024, Art. 76</x:v>
      </x:c>
    </x:row>
    <x:row r="75" ht="24" customHeight="1">
      <x:c r="A75" s="15" t="str">
        <x:v>DIRECT_64</x:v>
      </x:c>
      <x:c r="B75" s="15" t="str">
        <x:v>held_out_test_75</x:v>
      </x:c>
      <x:c r="C75" s="15" t="str">
        <x:v>Direct</x:v>
      </x:c>
      <x:c r="D75" s="15" t="str">
        <x:v>direct_article</x:v>
      </x:c>
      <x:c r="E75" s="15" t="str">
        <x:v>Yes</x:v>
      </x:c>
      <x:c r="F75" s="15" t="str">
        <x:v>RDC 945/2024, Art. 2</x:v>
      </x:c>
    </x:row>
    <x:row r="76" ht="24" customHeight="1">
      <x:c r="A76" s="15" t="str">
        <x:v>DIRECT_65</x:v>
      </x:c>
      <x:c r="B76" s="15" t="str">
        <x:v>held_out_test_75</x:v>
      </x:c>
      <x:c r="C76" s="15" t="str">
        <x:v>Direct</x:v>
      </x:c>
      <x:c r="D76" s="15" t="str">
        <x:v>direct_article</x:v>
      </x:c>
      <x:c r="E76" s="15" t="str">
        <x:v>Yes</x:v>
      </x:c>
      <x:c r="F76" s="15" t="str">
        <x:v>RDC 945/2024, Art. 95</x:v>
      </x:c>
    </x:row>
    <x:row r="77" ht="24" customHeight="1">
      <x:c r="A77" s="15" t="str">
        <x:v>DIRECT_66</x:v>
      </x:c>
      <x:c r="B77" s="15" t="str">
        <x:v>dev_remaining_5</x:v>
      </x:c>
      <x:c r="C77" s="15" t="str">
        <x:v>Direct</x:v>
      </x:c>
      <x:c r="D77" s="15" t="str">
        <x:v>direct_article</x:v>
      </x:c>
      <x:c r="E77" s="15" t="str">
        <x:v>Yes</x:v>
      </x:c>
      <x:c r="F77" s="15" t="str">
        <x:v>RDC 945/2024, Art. 19</x:v>
      </x:c>
    </x:row>
    <x:row r="78" ht="24" customHeight="1">
      <x:c r="A78" s="15" t="str">
        <x:v>DIRECT_67</x:v>
      </x:c>
      <x:c r="B78" s="15" t="str">
        <x:v>held_out_test_75</x:v>
      </x:c>
      <x:c r="C78" s="15" t="str">
        <x:v>Direct</x:v>
      </x:c>
      <x:c r="D78" s="15" t="str">
        <x:v>direct_article</x:v>
      </x:c>
      <x:c r="E78" s="15" t="str">
        <x:v>Yes</x:v>
      </x:c>
      <x:c r="F78" s="15" t="str">
        <x:v>RDC 945/2024, Art. 24</x:v>
      </x:c>
    </x:row>
    <x:row r="79" ht="24" customHeight="1">
      <x:c r="A79" s="15" t="str">
        <x:v>DIRECT_68</x:v>
      </x:c>
      <x:c r="B79" s="15" t="str">
        <x:v>calibration_20</x:v>
      </x:c>
      <x:c r="C79" s="15" t="str">
        <x:v>Direct</x:v>
      </x:c>
      <x:c r="D79" s="15" t="str">
        <x:v>direct_article</x:v>
      </x:c>
      <x:c r="E79" s="15" t="str">
        <x:v>Yes</x:v>
      </x:c>
      <x:c r="F79" s="15" t="str">
        <x:v>RDC 945/2024, Art. 78</x:v>
      </x:c>
    </x:row>
    <x:row r="80" ht="24" customHeight="1">
      <x:c r="A80" s="15" t="str">
        <x:v>DIRECT_69</x:v>
      </x:c>
      <x:c r="B80" s="15" t="str">
        <x:v>held_out_test_75</x:v>
      </x:c>
      <x:c r="C80" s="15" t="str">
        <x:v>Direct</x:v>
      </x:c>
      <x:c r="D80" s="15" t="str">
        <x:v>direct_article</x:v>
      </x:c>
      <x:c r="E80" s="15" t="str">
        <x:v>Yes</x:v>
      </x:c>
      <x:c r="F80" s="15" t="str">
        <x:v>RDC 945/2024, Art. 8</x:v>
      </x:c>
    </x:row>
    <x:row r="81" ht="24" customHeight="1">
      <x:c r="A81" s="15" t="str">
        <x:v>DIRECT_70</x:v>
      </x:c>
      <x:c r="B81" s="15" t="str">
        <x:v>held_out_test_75</x:v>
      </x:c>
      <x:c r="C81" s="15" t="str">
        <x:v>Direct</x:v>
      </x:c>
      <x:c r="D81" s="15" t="str">
        <x:v>direct_article</x:v>
      </x:c>
      <x:c r="E81" s="15" t="str">
        <x:v>Yes</x:v>
      </x:c>
      <x:c r="F81" s="15" t="str">
        <x:v>RDC 945/2024, Art. 67</x:v>
      </x:c>
    </x:row>
    <x:row r="82" ht="24" customHeight="1">
      <x:c r="A82" s="15" t="str">
        <x:v>UNANS_01</x:v>
      </x:c>
      <x:c r="B82" s="15" t="str">
        <x:v>held_out_test_75</x:v>
      </x:c>
      <x:c r="C82" s="15" t="str">
        <x:v>Unanswerable</x:v>
      </x:c>
      <x:c r="D82" s="15" t="str">
        <x:v>unanswerable_market_price</x:v>
      </x:c>
      <x:c r="E82" s="15" t="str">
        <x:v>No</x:v>
      </x:c>
      <x:c r="F82" s="15" t="str"/>
    </x:row>
    <x:row r="83" ht="24" customHeight="1">
      <x:c r="A83" s="15" t="str">
        <x:v>UNANS_02</x:v>
      </x:c>
      <x:c r="B83" s="15" t="str">
        <x:v>held_out_test_75</x:v>
      </x:c>
      <x:c r="C83" s="15" t="str">
        <x:v>Unanswerable</x:v>
      </x:c>
      <x:c r="D83" s="15" t="str">
        <x:v>unanswerable_medical_advice</x:v>
      </x:c>
      <x:c r="E83" s="15" t="str">
        <x:v>No</x:v>
      </x:c>
      <x:c r="F83" s="15" t="str"/>
    </x:row>
    <x:row r="84" ht="24" customHeight="1">
      <x:c r="A84" s="15" t="str">
        <x:v>UNANS_03</x:v>
      </x:c>
      <x:c r="B84" s="15" t="str">
        <x:v>held_out_test_75</x:v>
      </x:c>
      <x:c r="C84" s="15" t="str">
        <x:v>Unanswerable</x:v>
      </x:c>
      <x:c r="D84" s="15" t="str">
        <x:v>unanswerable_individual_dose</x:v>
      </x:c>
      <x:c r="E84" s="15" t="str">
        <x:v>No</x:v>
      </x:c>
      <x:c r="F84" s="15" t="str"/>
    </x:row>
    <x:row r="85" ht="24" customHeight="1">
      <x:c r="A85" s="15" t="str">
        <x:v>UNANS_04</x:v>
      </x:c>
      <x:c r="B85" s="15" t="str">
        <x:v>held_out_test_75</x:v>
      </x:c>
      <x:c r="C85" s="15" t="str">
        <x:v>Unanswerable</x:v>
      </x:c>
      <x:c r="D85" s="15" t="str">
        <x:v>unanswerable_reimbursement</x:v>
      </x:c>
      <x:c r="E85" s="15" t="str">
        <x:v>No</x:v>
      </x:c>
      <x:c r="F85" s="15" t="str"/>
    </x:row>
    <x:row r="86" ht="24" customHeight="1">
      <x:c r="A86" s="15" t="str">
        <x:v>UNANS_05</x:v>
      </x:c>
      <x:c r="B86" s="15" t="str">
        <x:v>calibration_20</x:v>
      </x:c>
      <x:c r="C86" s="15" t="str">
        <x:v>Unanswerable</x:v>
      </x:c>
      <x:c r="D86" s="15" t="str">
        <x:v>unanswerable_patent</x:v>
      </x:c>
      <x:c r="E86" s="15" t="str">
        <x:v>No</x:v>
      </x:c>
      <x:c r="F86" s="15" t="str"/>
    </x:row>
    <x:row r="87" ht="24" customHeight="1">
      <x:c r="A87" s="15" t="str">
        <x:v>UNANS_06</x:v>
      </x:c>
      <x:c r="B87" s="15" t="str">
        <x:v>held_out_test_75</x:v>
      </x:c>
      <x:c r="C87" s="15" t="str">
        <x:v>Unanswerable</x:v>
      </x:c>
      <x:c r="D87" s="15" t="str">
        <x:v>unanswerable_tax</x:v>
      </x:c>
      <x:c r="E87" s="15" t="str">
        <x:v>No</x:v>
      </x:c>
      <x:c r="F87" s="15" t="str"/>
    </x:row>
    <x:row r="88" ht="24" customHeight="1">
      <x:c r="A88" s="15" t="str">
        <x:v>UNANS_07</x:v>
      </x:c>
      <x:c r="B88" s="15" t="str">
        <x:v>calibration_20</x:v>
      </x:c>
      <x:c r="C88" s="15" t="str">
        <x:v>Unanswerable</x:v>
      </x:c>
      <x:c r="D88" s="15" t="str">
        <x:v>unanswerable_company_status</x:v>
      </x:c>
      <x:c r="E88" s="15" t="str">
        <x:v>No</x:v>
      </x:c>
      <x:c r="F88" s="15" t="str"/>
    </x:row>
    <x:row r="89" ht="24" customHeight="1">
      <x:c r="A89" s="15" t="str">
        <x:v>UNANS_08</x:v>
      </x:c>
      <x:c r="B89" s="15" t="str">
        <x:v>held_out_test_75</x:v>
      </x:c>
      <x:c r="C89" s="15" t="str">
        <x:v>Unanswerable</x:v>
      </x:c>
      <x:c r="D89" s="15" t="str">
        <x:v>unanswerable_future_approval</x:v>
      </x:c>
      <x:c r="E89" s="15" t="str">
        <x:v>No</x:v>
      </x:c>
      <x:c r="F89" s="15" t="str"/>
    </x:row>
    <x:row r="90" ht="24" customHeight="1">
      <x:c r="A90" s="15" t="str">
        <x:v>UNANS_09</x:v>
      </x:c>
      <x:c r="B90" s="15" t="str">
        <x:v>held_out_test_75</x:v>
      </x:c>
      <x:c r="C90" s="15" t="str">
        <x:v>Unanswerable</x:v>
      </x:c>
      <x:c r="D90" s="15" t="str">
        <x:v>unanswerable_nonexistent_article</x:v>
      </x:c>
      <x:c r="E90" s="15" t="str">
        <x:v>No</x:v>
      </x:c>
      <x:c r="F90" s="15" t="str"/>
    </x:row>
    <x:row r="91" ht="24" customHeight="1">
      <x:c r="A91" s="15" t="str">
        <x:v>UNANS_10</x:v>
      </x:c>
      <x:c r="B91" s="15" t="str">
        <x:v>held_out_test_75</x:v>
      </x:c>
      <x:c r="C91" s="15" t="str">
        <x:v>Unanswerable</x:v>
      </x:c>
      <x:c r="D91" s="15" t="str">
        <x:v>unanswerable_nonexistent_regulation</x:v>
      </x:c>
      <x:c r="E91" s="15" t="str">
        <x:v>No</x:v>
      </x:c>
      <x:c r="F91" s="15" t="str"/>
    </x:row>
    <x:row r="92" ht="24" customHeight="1">
      <x:c r="A92" s="15" t="str">
        <x:v>UNANS_11</x:v>
      </x:c>
      <x:c r="B92" s="15" t="str">
        <x:v>calibration_20</x:v>
      </x:c>
      <x:c r="C92" s="15" t="str">
        <x:v>Unanswerable</x:v>
      </x:c>
      <x:c r="D92" s="15" t="str">
        <x:v>unanswerable_fabricated_deadline</x:v>
      </x:c>
      <x:c r="E92" s="15" t="str">
        <x:v>No</x:v>
      </x:c>
      <x:c r="F92" s="15" t="str"/>
    </x:row>
    <x:row r="93" ht="24" customHeight="1">
      <x:c r="A93" s="15" t="str">
        <x:v>UNANS_12</x:v>
      </x:c>
      <x:c r="B93" s="15" t="str">
        <x:v>held_out_test_75</x:v>
      </x:c>
      <x:c r="C93" s="15" t="str">
        <x:v>Unanswerable</x:v>
      </x:c>
      <x:c r="D93" s="15" t="str">
        <x:v>unanswerable_foreign_law</x:v>
      </x:c>
      <x:c r="E93" s="15" t="str">
        <x:v>No</x:v>
      </x:c>
      <x:c r="F93" s="15" t="str"/>
    </x:row>
    <x:row r="94" ht="24" customHeight="1">
      <x:c r="A94" s="15" t="str">
        <x:v>UNANS_13</x:v>
      </x:c>
      <x:c r="B94" s="15" t="str">
        <x:v>held_out_test_75</x:v>
      </x:c>
      <x:c r="C94" s="15" t="str">
        <x:v>Unanswerable</x:v>
      </x:c>
      <x:c r="D94" s="15" t="str">
        <x:v>unanswerable_legal_opinion</x:v>
      </x:c>
      <x:c r="E94" s="15" t="str">
        <x:v>No</x:v>
      </x:c>
      <x:c r="F94" s="15" t="str"/>
    </x:row>
    <x:row r="95" ht="24" customHeight="1">
      <x:c r="A95" s="15" t="str">
        <x:v>UNANS_14</x:v>
      </x:c>
      <x:c r="B95" s="15" t="str">
        <x:v>calibration_20</x:v>
      </x:c>
      <x:c r="C95" s="15" t="str">
        <x:v>Unanswerable</x:v>
      </x:c>
      <x:c r="D95" s="15" t="str">
        <x:v>unanswerable_ethics_decision</x:v>
      </x:c>
      <x:c r="E95" s="15" t="str">
        <x:v>No</x:v>
      </x:c>
      <x:c r="F95" s="15" t="str"/>
    </x:row>
    <x:row r="96" ht="24" customHeight="1">
      <x:c r="A96" s="15" t="str">
        <x:v>UNANS_15</x:v>
      </x:c>
      <x:c r="B96" s="15" t="str">
        <x:v>held_out_test_75</x:v>
      </x:c>
      <x:c r="C96" s="15" t="str">
        <x:v>Unanswerable</x:v>
      </x:c>
      <x:c r="D96" s="15" t="str">
        <x:v>unanswerable_product_comparison</x:v>
      </x:c>
      <x:c r="E96" s="15" t="str">
        <x:v>No</x:v>
      </x:c>
      <x:c r="F96" s="15" t="str"/>
    </x:row>
    <x:row r="97" ht="24" customHeight="1">
      <x:c r="A97" s="15" t="str">
        <x:v>UNANS_16</x:v>
      </x:c>
      <x:c r="B97" s="15" t="str">
        <x:v>held_out_test_75</x:v>
      </x:c>
      <x:c r="C97" s="15" t="str">
        <x:v>Unanswerable</x:v>
      </x:c>
      <x:c r="D97" s="15" t="str">
        <x:v>unanswerable_contact_details</x:v>
      </x:c>
      <x:c r="E97" s="15" t="str">
        <x:v>No</x:v>
      </x:c>
      <x:c r="F97" s="15" t="str"/>
    </x:row>
    <x:row r="98" ht="24" customHeight="1">
      <x:c r="A98" s="15" t="str">
        <x:v>UNANS_17</x:v>
      </x:c>
      <x:c r="B98" s="15" t="str">
        <x:v>held_out_test_75</x:v>
      </x:c>
      <x:c r="C98" s="15" t="str">
        <x:v>Unanswerable</x:v>
      </x:c>
      <x:c r="D98" s="15" t="str">
        <x:v>unanswerable_historical_reason</x:v>
      </x:c>
      <x:c r="E98" s="15" t="str">
        <x:v>No</x:v>
      </x:c>
      <x:c r="F98" s="15" t="str"/>
    </x:row>
    <x:row r="99" ht="24" customHeight="1">
      <x:c r="A99" s="15" t="str">
        <x:v>UNANS_18</x:v>
      </x:c>
      <x:c r="B99" s="15" t="str">
        <x:v>dev_remaining_5</x:v>
      </x:c>
      <x:c r="C99" s="15" t="str">
        <x:v>Unanswerable</x:v>
      </x:c>
      <x:c r="D99" s="15" t="str">
        <x:v>unanswerable_guaranteed_outcome</x:v>
      </x:c>
      <x:c r="E99" s="15" t="str">
        <x:v>No</x:v>
      </x:c>
      <x:c r="F99" s="15" t="str"/>
    </x:row>
    <x:row r="100" ht="24" customHeight="1">
      <x:c r="A100" s="15" t="str">
        <x:v>UNANS_19</x:v>
      </x:c>
      <x:c r="B100" s="15" t="str">
        <x:v>held_out_test_75</x:v>
      </x:c>
      <x:c r="C100" s="15" t="str">
        <x:v>Unanswerable</x:v>
      </x:c>
      <x:c r="D100" s="15" t="str">
        <x:v>unanswerable_missing_contract</x:v>
      </x:c>
      <x:c r="E100" s="15" t="str">
        <x:v>No</x:v>
      </x:c>
      <x:c r="F100" s="15" t="str"/>
    </x:row>
    <x:row r="101" ht="24" customHeight="1">
      <x:c r="A101" s="15" t="str">
        <x:v>UNANS_20</x:v>
      </x:c>
      <x:c r="B101" s="15" t="str">
        <x:v>held_out_test_75</x:v>
      </x:c>
      <x:c r="C101" s="15" t="str">
        <x:v>Unanswerable</x:v>
      </x:c>
      <x:c r="D101" s="15" t="str">
        <x:v>unanswerable_post_corpus_update</x:v>
      </x:c>
      <x:c r="E101" s="15" t="str">
        <x:v>No</x:v>
      </x:c>
      <x:c r="F101" s="15" t="str"/>
    </x:row>
  </x:sheetData>
  <x:pageMargins left="0.7" right="0.7" top="0.75" bottom="0.75" header="0.3" footer="0.3"/>
  <x:tableParts count="1">
    <x:tablePart xmlns:r="http://schemas.openxmlformats.org/officeDocument/2006/relationships" r:id="R81331e3e3f8e49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30" hidden="0" customWidth="1"/>
    <x:col min="3" max="3" width="30" hidden="0" customWidth="1"/>
    <x:col min="4" max="4" width="24.440000534057617" hidden="0" customWidth="1"/>
  </x:cols>
  <x:sheetData>
    <x:row r="1">
      <x:c r="A1" s="27" t="str">
        <x:v>Solo Benchmark Validation Rubric</x:v>
      </x:c>
      <x:c r="B1" s="27"/>
      <x:c r="C1" s="27"/>
      <x:c r="D1" s="27"/>
    </x:row>
    <x:row r="2">
      <x:c r="A2" s="27"/>
      <x:c r="B2" s="27"/>
      <x:c r="C2" s="27"/>
      <x:c r="D2" s="27"/>
    </x:row>
    <x:row r="4">
      <x:c r="A4" s="13" t="str">
        <x:v>Criterion</x:v>
      </x:c>
      <x:c r="B4" s="13" t="str">
        <x:v>Score 1</x:v>
      </x:c>
      <x:c r="C4" s="13" t="str">
        <x:v>Score 0</x:v>
      </x:c>
      <x:c r="D4" s="13" t="str">
        <x:v>Action</x:v>
      </x:c>
    </x:row>
    <x:row r="5" ht="43.5" customHeight="1">
      <x:c r="A5" s="17" t="str">
        <x:v>Question Clear</x:v>
      </x:c>
      <x:c r="B5" s="17" t="str">
        <x:v>One interpretation; answerable from evidence</x:v>
      </x:c>
      <x:c r="C5" s="17" t="str">
        <x:v>Ambiguous, leading, or underspecified</x:v>
      </x:c>
      <x:c r="D5" s="17" t="str">
        <x:v>Revise wording or drop</x:v>
      </x:c>
    </x:row>
    <x:row r="6" ht="43.5" customHeight="1">
      <x:c r="A6" s="17" t="str">
        <x:v>Answer Supported</x:v>
      </x:c>
      <x:c r="B6" s="17" t="str">
        <x:v>Every material claim appears in evidence</x:v>
      </x:c>
      <x:c r="C6" s="17" t="str">
        <x:v>Any unsupported, omitted, or overstated claim</x:v>
      </x:c>
      <x:c r="D6" s="17" t="str">
        <x:v>Correct answer and document change</x:v>
      </x:c>
    </x:row>
    <x:row r="7" ht="43.5" customHeight="1">
      <x:c r="A7" s="17" t="str">
        <x:v>Citations Exact</x:v>
      </x:c>
      <x:c r="B7" s="17" t="str">
        <x:v>Regulation and article match exact evidence</x:v>
      </x:c>
      <x:c r="C7" s="17" t="str">
        <x:v>Wrong, ambiguous, or incomplete source</x:v>
      </x:c>
      <x:c r="D7" s="17" t="str">
        <x:v>Correct citation or drop</x:v>
      </x:c>
    </x:row>
    <x:row r="8" ht="43.5" customHeight="1">
      <x:c r="A8" s="17" t="str">
        <x:v>Bilingual Equivalent</x:v>
      </x:c>
      <x:c r="B8" s="17" t="str">
        <x:v>Same legal meaning and conditions</x:v>
      </x:c>
      <x:c r="C8" s="17" t="str">
        <x:v>Meaning, scope, deadline, or modality differs</x:v>
      </x:c>
      <x:c r="D8" s="17" t="str">
        <x:v>Revise translation</x:v>
      </x:c>
    </x:row>
    <x:row r="9" ht="43.5" customHeight="1">
      <x:c r="A9" s="17" t="str">
        <x:v>Decision</x:v>
      </x:c>
      <x:c r="B9" s="17" t="str">
        <x:v>Keep only if all four checks are 1</x:v>
      </x:c>
      <x:c r="C9" s="17" t="str">
        <x:v>Revise/Drop if any check is 0</x:v>
      </x:c>
      <x:c r="D9" s="17" t="str">
        <x:v>Explain every non-Keep decision</x:v>
      </x:c>
    </x:row>
    <x:row r="12">
      <x:c r="A12" s="14" t="str">
        <x:v>Repeatability rule</x:v>
      </x:c>
      <x:c r="B12" s="14"/>
      <x:c r="C12" s="14"/>
      <x:c r="D12" s="14"/>
    </x:row>
    <x:row r="13" ht="33" customHeight="1">
      <x:c r="A13" s="30" t="str">
        <x:v>Wait</x:v>
      </x:c>
      <x:c r="B13" s="30" t="str">
        <x:v>At least seven days</x:v>
      </x:c>
      <x:c r="C13" s="30" t="str"/>
      <x:c r="D13" s="30" t="str"/>
    </x:row>
    <x:row r="14" ht="33" customHeight="1">
      <x:c r="A14" s="30" t="str">
        <x:v>Blindness</x:v>
      </x:c>
      <x:c r="B14" s="30" t="str">
        <x:v>Do not consult Pass 1 labels before completing Pass 2</x:v>
      </x:c>
      <x:c r="C14" s="30" t="str"/>
      <x:c r="D14" s="30" t="str"/>
    </x:row>
    <x:row r="15" ht="33" customHeight="1">
      <x:c r="A15" s="30" t="str">
        <x:v>Reporting</x:v>
      </x:c>
      <x:c r="B15" s="30" t="str">
        <x:v>Call agreement intra-rater repeatability, never inter-rater agreement</x:v>
      </x:c>
      <x:c r="C15" s="30" t="str"/>
      <x:c r="D15" s="30" t="str"/>
    </x:row>
  </x:sheetData>
  <x:mergeCells>
    <x:mergeCell ref="A1:D2"/>
    <x:mergeCell ref="A12:D12"/>
  </x:mergeCells>
  <x:pageMargins left="0.7" right="0.7" top="0.75" bottom="0.75" header="0.3" footer="0.3"/>
</x:worksheet>
</file>